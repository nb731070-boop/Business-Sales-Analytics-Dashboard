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nb731\Downloads\New Folder\"/>
    </mc:Choice>
  </mc:AlternateContent>
  <xr:revisionPtr revIDLastSave="0" documentId="8_{2CF52CEE-11FD-477C-81A2-50982EF53576}" xr6:coauthVersionLast="47" xr6:coauthVersionMax="47" xr10:uidLastSave="{00000000-0000-0000-0000-000000000000}"/>
  <bookViews>
    <workbookView xWindow="-108" yWindow="-108" windowWidth="23256" windowHeight="12456" activeTab="4" xr2:uid="{00000000-000D-0000-FFFF-FFFF00000000}"/>
  </bookViews>
  <sheets>
    <sheet name="Read_Me" sheetId="2" r:id="rId1"/>
    <sheet name="Raw_Data" sheetId="1" r:id="rId2"/>
    <sheet name="KPIs" sheetId="3" r:id="rId3"/>
    <sheet name="Pivot_Table" sheetId="5" r:id="rId4"/>
    <sheet name="Dashboard" sheetId="4" r:id="rId5"/>
  </sheets>
  <definedNames>
    <definedName name="Slicer_Category">#N/A</definedName>
    <definedName name="Slicer_Customer_Segment">#N/A</definedName>
    <definedName name="Slicer_Payment_Mode">#N/A</definedName>
    <definedName name="Slicer_Region">#N/A</definedName>
  </definedNames>
  <calcPr calcId="191029"/>
  <pivotCaches>
    <pivotCache cacheId="9"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3" l="1"/>
  <c r="B2" i="3"/>
  <c r="B12" i="3" s="1"/>
  <c r="B11" i="3"/>
  <c r="B10" i="3"/>
  <c r="B8" i="3"/>
  <c r="B7" i="3"/>
  <c r="B6" i="3"/>
  <c r="B4" i="3"/>
  <c r="B3" i="3"/>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 i="1"/>
  <c r="B9" i="3" l="1"/>
</calcChain>
</file>

<file path=xl/sharedStrings.xml><?xml version="1.0" encoding="utf-8"?>
<sst xmlns="http://schemas.openxmlformats.org/spreadsheetml/2006/main" count="1886" uniqueCount="435">
  <si>
    <t>Order_ID</t>
  </si>
  <si>
    <t>Order_Date</t>
  </si>
  <si>
    <t>Customer_Name</t>
  </si>
  <si>
    <t>Customer_Segment</t>
  </si>
  <si>
    <t>City</t>
  </si>
  <si>
    <t>Region</t>
  </si>
  <si>
    <t>Category</t>
  </si>
  <si>
    <t>Product</t>
  </si>
  <si>
    <t>Quantity</t>
  </si>
  <si>
    <t>Unit_Price</t>
  </si>
  <si>
    <t>Discount_Pct</t>
  </si>
  <si>
    <t>Payment_Mode</t>
  </si>
  <si>
    <t>Salesperson</t>
  </si>
  <si>
    <t>ORD10002</t>
  </si>
  <si>
    <t>Rahul Verma</t>
  </si>
  <si>
    <t>Small Business</t>
  </si>
  <si>
    <t>Delhi</t>
  </si>
  <si>
    <t>North</t>
  </si>
  <si>
    <t>Furniture</t>
  </si>
  <si>
    <t>Bookshelf</t>
  </si>
  <si>
    <t>Net Banking</t>
  </si>
  <si>
    <t>Amit</t>
  </si>
  <si>
    <t>ORD10003</t>
  </si>
  <si>
    <t>Riya Mishra</t>
  </si>
  <si>
    <t>Consumer</t>
  </si>
  <si>
    <t>Electronics</t>
  </si>
  <si>
    <t>Keyboard</t>
  </si>
  <si>
    <t>Riya</t>
  </si>
  <si>
    <t>ORD10004</t>
  </si>
  <si>
    <t>Rohit Kumar</t>
  </si>
  <si>
    <t>Corporate</t>
  </si>
  <si>
    <t>Jaipur</t>
  </si>
  <si>
    <t>West</t>
  </si>
  <si>
    <t>Office Supplies</t>
  </si>
  <si>
    <t>Printer Paper</t>
  </si>
  <si>
    <t>Debit Card</t>
  </si>
  <si>
    <t>ORD10005</t>
  </si>
  <si>
    <t>Arjun Yadav</t>
  </si>
  <si>
    <t>Kolkata</t>
  </si>
  <si>
    <t>East</t>
  </si>
  <si>
    <t>Notebook</t>
  </si>
  <si>
    <t>Vikas</t>
  </si>
  <si>
    <t>ORD10006</t>
  </si>
  <si>
    <t>Aditya Agarwal</t>
  </si>
  <si>
    <t>Chennai</t>
  </si>
  <si>
    <t>South</t>
  </si>
  <si>
    <t>ORD10007</t>
  </si>
  <si>
    <t>Aditya Bhardwaj</t>
  </si>
  <si>
    <t>Cash</t>
  </si>
  <si>
    <t>ORD10008</t>
  </si>
  <si>
    <t>Karan Singh</t>
  </si>
  <si>
    <t>Hyderabad</t>
  </si>
  <si>
    <t>Pen Set</t>
  </si>
  <si>
    <t>UPI</t>
  </si>
  <si>
    <t>Karan</t>
  </si>
  <si>
    <t>ORD10009</t>
  </si>
  <si>
    <t>Neha Singh</t>
  </si>
  <si>
    <t>Ahmedabad</t>
  </si>
  <si>
    <t>Study Table</t>
  </si>
  <si>
    <t>ORD10010</t>
  </si>
  <si>
    <t>Bhubaneswar</t>
  </si>
  <si>
    <t>Mouse</t>
  </si>
  <si>
    <t>Credit Card</t>
  </si>
  <si>
    <t>ORD10011</t>
  </si>
  <si>
    <t>Rahul Singh</t>
  </si>
  <si>
    <t>Filing Cabinet</t>
  </si>
  <si>
    <t>Pooja</t>
  </si>
  <si>
    <t>ORD10012</t>
  </si>
  <si>
    <t>Nishant Gupta</t>
  </si>
  <si>
    <t>ORD10013</t>
  </si>
  <si>
    <t>Meera Verma</t>
  </si>
  <si>
    <t>ORD10014</t>
  </si>
  <si>
    <t>Simran Singh</t>
  </si>
  <si>
    <t>ORD10015</t>
  </si>
  <si>
    <t>Riya Gupta</t>
  </si>
  <si>
    <t>Mumbai</t>
  </si>
  <si>
    <t>Monitor</t>
  </si>
  <si>
    <t>ORD10016</t>
  </si>
  <si>
    <t>Ananya Gupta</t>
  </si>
  <si>
    <t>Desk Lamp</t>
  </si>
  <si>
    <t>ORD10017</t>
  </si>
  <si>
    <t>Nishant Sharma</t>
  </si>
  <si>
    <t>Pune</t>
  </si>
  <si>
    <t>ORD10018</t>
  </si>
  <si>
    <t>Kavya Agarwal</t>
  </si>
  <si>
    <t>ORD10019</t>
  </si>
  <si>
    <t xml:space="preserve">  Ananya Jain  </t>
  </si>
  <si>
    <t>ORD10020</t>
  </si>
  <si>
    <t>Isha Bhardwaj</t>
  </si>
  <si>
    <t>Headphones</t>
  </si>
  <si>
    <t>ORD10021</t>
  </si>
  <si>
    <t>Riya Bhardwaj</t>
  </si>
  <si>
    <t>ORD10022</t>
  </si>
  <si>
    <t>Kavya Kumar</t>
  </si>
  <si>
    <t>ORD10023</t>
  </si>
  <si>
    <t>Arjun Sharma</t>
  </si>
  <si>
    <t>Chandigarh</t>
  </si>
  <si>
    <t>Stapler</t>
  </si>
  <si>
    <t>ORD10024</t>
  </si>
  <si>
    <t>Sneha Gupta</t>
  </si>
  <si>
    <t>Laptop Stand</t>
  </si>
  <si>
    <t>ORD10025</t>
  </si>
  <si>
    <t>Office Chair</t>
  </si>
  <si>
    <t>Neha</t>
  </si>
  <si>
    <t>ORD10026</t>
  </si>
  <si>
    <t>Aarav Kumar</t>
  </si>
  <si>
    <t>ORD10027</t>
  </si>
  <si>
    <t>ORD10028</t>
  </si>
  <si>
    <t>Riya Agarwal</t>
  </si>
  <si>
    <t>ORD10029</t>
  </si>
  <si>
    <t>Neha Verma</t>
  </si>
  <si>
    <t>ORD10030</t>
  </si>
  <si>
    <t>Karan Yadav</t>
  </si>
  <si>
    <t>Bengaluru</t>
  </si>
  <si>
    <t>ORD10031</t>
  </si>
  <si>
    <t>Aditya Sharma</t>
  </si>
  <si>
    <t>ORD10032</t>
  </si>
  <si>
    <t>Ananya Verma</t>
  </si>
  <si>
    <t>Noida</t>
  </si>
  <si>
    <t>ORD10033</t>
  </si>
  <si>
    <t>Arjun Gupta</t>
  </si>
  <si>
    <t>ORD10034</t>
  </si>
  <si>
    <t>Lucknow</t>
  </si>
  <si>
    <t>ORD10035</t>
  </si>
  <si>
    <t>Aarav Yadav</t>
  </si>
  <si>
    <t>ORD10036</t>
  </si>
  <si>
    <t>Aditya Gupta</t>
  </si>
  <si>
    <t>ORD10037</t>
  </si>
  <si>
    <t>Vivaan Yadav</t>
  </si>
  <si>
    <t>ORD10038</t>
  </si>
  <si>
    <t>Rohit Gupta</t>
  </si>
  <si>
    <t>ORD10039</t>
  </si>
  <si>
    <t>Rohit Verma</t>
  </si>
  <si>
    <t>Desk Organizer</t>
  </si>
  <si>
    <t>ORD10040</t>
  </si>
  <si>
    <t>File Folder</t>
  </si>
  <si>
    <t>ORD10041</t>
  </si>
  <si>
    <t>Simran Yadav</t>
  </si>
  <si>
    <t>ORD10042</t>
  </si>
  <si>
    <t>Ananya Yadav</t>
  </si>
  <si>
    <t>ORD10043</t>
  </si>
  <si>
    <t>Sneha Sharma</t>
  </si>
  <si>
    <t>ORD10044</t>
  </si>
  <si>
    <t>Arjun Singh</t>
  </si>
  <si>
    <t>ORD10045</t>
  </si>
  <si>
    <t>Karan Kumar</t>
  </si>
  <si>
    <t>ORD10046</t>
  </si>
  <si>
    <t>Vikas Singh</t>
  </si>
  <si>
    <t>ORD10047</t>
  </si>
  <si>
    <t>ORD10048</t>
  </si>
  <si>
    <t>Karan Gupta</t>
  </si>
  <si>
    <t>Webcam</t>
  </si>
  <si>
    <t>ORD10049</t>
  </si>
  <si>
    <t>Neha Jain</t>
  </si>
  <si>
    <t>ORD10050</t>
  </si>
  <si>
    <t>Riya Jain</t>
  </si>
  <si>
    <t>Patna</t>
  </si>
  <si>
    <t>ORD10051</t>
  </si>
  <si>
    <t>Meera Agarwal</t>
  </si>
  <si>
    <t>ORD10052</t>
  </si>
  <si>
    <t>Aman Agarwal</t>
  </si>
  <si>
    <t>ORD10053</t>
  </si>
  <si>
    <t>Priya Yadav</t>
  </si>
  <si>
    <t>ORD10054</t>
  </si>
  <si>
    <t>Aditya Kumar</t>
  </si>
  <si>
    <t>ORD10055</t>
  </si>
  <si>
    <t>Isha Sharma</t>
  </si>
  <si>
    <t>ORD10056</t>
  </si>
  <si>
    <t>Kavya Bhardwaj</t>
  </si>
  <si>
    <t>ORD10057</t>
  </si>
  <si>
    <t>Pooja Gupta</t>
  </si>
  <si>
    <t>ORD10058</t>
  </si>
  <si>
    <t>Rahul Jain</t>
  </si>
  <si>
    <t>ORD10059</t>
  </si>
  <si>
    <t>ORD10060</t>
  </si>
  <si>
    <t>Nishant Verma</t>
  </si>
  <si>
    <t>ORD10061</t>
  </si>
  <si>
    <t>ORD10062</t>
  </si>
  <si>
    <t>Meera Mishra</t>
  </si>
  <si>
    <t>ORD10063</t>
  </si>
  <si>
    <t>Neha Bhardwaj</t>
  </si>
  <si>
    <t>ORD10064</t>
  </si>
  <si>
    <t>Ananya Agarwal</t>
  </si>
  <si>
    <t>ORD10065</t>
  </si>
  <si>
    <t>Arjun Kumar</t>
  </si>
  <si>
    <t>ORD10066</t>
  </si>
  <si>
    <t>Pooja Kumar</t>
  </si>
  <si>
    <t xml:space="preserve">Noida </t>
  </si>
  <si>
    <t>ORD10067</t>
  </si>
  <si>
    <t>Nishant Jain</t>
  </si>
  <si>
    <t>ORD10068</t>
  </si>
  <si>
    <t>ORD10069</t>
  </si>
  <si>
    <t>ORD10070</t>
  </si>
  <si>
    <t>Aarav Verma</t>
  </si>
  <si>
    <t>ORD10071</t>
  </si>
  <si>
    <t>Simran Agarwal</t>
  </si>
  <si>
    <t>ORD10072</t>
  </si>
  <si>
    <t>Aman Bhardwaj</t>
  </si>
  <si>
    <t>ORD10073</t>
  </si>
  <si>
    <t>Kavya Singh</t>
  </si>
  <si>
    <t>ORD10074</t>
  </si>
  <si>
    <t>Rohit Singh</t>
  </si>
  <si>
    <t>ORD10075</t>
  </si>
  <si>
    <t>Kavya Verma</t>
  </si>
  <si>
    <t>ORD10076</t>
  </si>
  <si>
    <t>Aman Jain</t>
  </si>
  <si>
    <t>ORD10077</t>
  </si>
  <si>
    <t>Isha Singh</t>
  </si>
  <si>
    <t>ORD10078</t>
  </si>
  <si>
    <t>Pooja Jain</t>
  </si>
  <si>
    <t>ORD10079</t>
  </si>
  <si>
    <t>ORD10080</t>
  </si>
  <si>
    <t>Sneha Jain</t>
  </si>
  <si>
    <t>Ghaziabad</t>
  </si>
  <si>
    <t>ORD10081</t>
  </si>
  <si>
    <t>ORD10082</t>
  </si>
  <si>
    <t>Aman Gupta</t>
  </si>
  <si>
    <t>ORD10083</t>
  </si>
  <si>
    <t>Arjun Jain</t>
  </si>
  <si>
    <t>ORD10084</t>
  </si>
  <si>
    <t>Aditya Mishra</t>
  </si>
  <si>
    <t>ORD10085</t>
  </si>
  <si>
    <t>Isha Mishra</t>
  </si>
  <si>
    <t>ORD10086</t>
  </si>
  <si>
    <t>Rohit Mishra</t>
  </si>
  <si>
    <t>ORD10087</t>
  </si>
  <si>
    <t>Rohit Yadav</t>
  </si>
  <si>
    <t>ORD10088</t>
  </si>
  <si>
    <t>Priya Singh</t>
  </si>
  <si>
    <t>ORD10089</t>
  </si>
  <si>
    <t>Vivaan Bhardwaj</t>
  </si>
  <si>
    <t>ORD10090</t>
  </si>
  <si>
    <t>Simran Gupta</t>
  </si>
  <si>
    <t>ORD10091</t>
  </si>
  <si>
    <t>Vikas Agarwal</t>
  </si>
  <si>
    <t>ORD10092</t>
  </si>
  <si>
    <t>ORD10093</t>
  </si>
  <si>
    <t>Karan Mishra</t>
  </si>
  <si>
    <t>ORD10094</t>
  </si>
  <si>
    <t>ORD10095</t>
  </si>
  <si>
    <t>Priya Agarwal</t>
  </si>
  <si>
    <t>ORD10096</t>
  </si>
  <si>
    <t>Nishant Kumar</t>
  </si>
  <si>
    <t>ORD10097</t>
  </si>
  <si>
    <t>Vivaan Gupta</t>
  </si>
  <si>
    <t>ORD10098</t>
  </si>
  <si>
    <t>Rahul Kumar</t>
  </si>
  <si>
    <t>ORD10099</t>
  </si>
  <si>
    <t>ORD10100</t>
  </si>
  <si>
    <t>Vikas Bhardwaj</t>
  </si>
  <si>
    <t>ORD10101</t>
  </si>
  <si>
    <t>Vikas Sharma</t>
  </si>
  <si>
    <t>ORD10102</t>
  </si>
  <si>
    <t>Riya Kumar</t>
  </si>
  <si>
    <t>ORD10103</t>
  </si>
  <si>
    <t>Isha Gupta</t>
  </si>
  <si>
    <t>ORD10104</t>
  </si>
  <si>
    <t>ORD10105</t>
  </si>
  <si>
    <t>Pooja Singh</t>
  </si>
  <si>
    <t>ORD10106</t>
  </si>
  <si>
    <t>ORD10107</t>
  </si>
  <si>
    <t>Nishant Mishra</t>
  </si>
  <si>
    <t>ORD10108</t>
  </si>
  <si>
    <t>Vivaan Singh</t>
  </si>
  <si>
    <t>ORD10109</t>
  </si>
  <si>
    <t>ORD10110</t>
  </si>
  <si>
    <t>ORD10111</t>
  </si>
  <si>
    <t>ORD10112</t>
  </si>
  <si>
    <t>ORD10113</t>
  </si>
  <si>
    <t>ORD10114</t>
  </si>
  <si>
    <t>Arjun Bhardwaj</t>
  </si>
  <si>
    <t>ORD10115</t>
  </si>
  <si>
    <t>Sneha Verma</t>
  </si>
  <si>
    <t>ORD10116</t>
  </si>
  <si>
    <t>Pooja Bhardwaj</t>
  </si>
  <si>
    <t>ORD10117</t>
  </si>
  <si>
    <t>ORD10118</t>
  </si>
  <si>
    <t>Priya Bhardwaj</t>
  </si>
  <si>
    <t>ORD10119</t>
  </si>
  <si>
    <t>Priya Gupta</t>
  </si>
  <si>
    <t>ORD10120</t>
  </si>
  <si>
    <t>Aarav Gupta</t>
  </si>
  <si>
    <t>ORD10121</t>
  </si>
  <si>
    <t>Sneha Agarwal</t>
  </si>
  <si>
    <t>ORD10122</t>
  </si>
  <si>
    <t>ORD10123</t>
  </si>
  <si>
    <t xml:space="preserve">UPI </t>
  </si>
  <si>
    <t>ORD10124</t>
  </si>
  <si>
    <t>ORD10125</t>
  </si>
  <si>
    <t>ORD10126</t>
  </si>
  <si>
    <t>ORD10127</t>
  </si>
  <si>
    <t>ORD10128</t>
  </si>
  <si>
    <t>ORD10129</t>
  </si>
  <si>
    <t>ORD10130</t>
  </si>
  <si>
    <t>ORD10131</t>
  </si>
  <si>
    <t>Simran Mishra</t>
  </si>
  <si>
    <t>ORD10132</t>
  </si>
  <si>
    <t>Ananya Sharma</t>
  </si>
  <si>
    <t>ORD10133</t>
  </si>
  <si>
    <t>ORD10134</t>
  </si>
  <si>
    <t>ORD10135</t>
  </si>
  <si>
    <t>Meera Jain</t>
  </si>
  <si>
    <t>ORD10136</t>
  </si>
  <si>
    <t>Isha Jain</t>
  </si>
  <si>
    <t>ORD10137</t>
  </si>
  <si>
    <t>ORD10138</t>
  </si>
  <si>
    <t>ORD10139</t>
  </si>
  <si>
    <t>Aarav Jain</t>
  </si>
  <si>
    <t>ORD10140</t>
  </si>
  <si>
    <t>ORD10141</t>
  </si>
  <si>
    <t>ORD10142</t>
  </si>
  <si>
    <t>ORD10143</t>
  </si>
  <si>
    <t>Rahul Bhardwaj</t>
  </si>
  <si>
    <t>ORD10144</t>
  </si>
  <si>
    <t>Kavya Jain</t>
  </si>
  <si>
    <t>ORD10145</t>
  </si>
  <si>
    <t>Aditya Jain</t>
  </si>
  <si>
    <t>ORD10146</t>
  </si>
  <si>
    <t>Pooja Sharma</t>
  </si>
  <si>
    <t>ORD10147</t>
  </si>
  <si>
    <t>Isha Agarwal</t>
  </si>
  <si>
    <t>ORD10148</t>
  </si>
  <si>
    <t>Pooja Verma</t>
  </si>
  <si>
    <t>ORD10149</t>
  </si>
  <si>
    <t>ORD10150</t>
  </si>
  <si>
    <t>Meera Sharma</t>
  </si>
  <si>
    <t>ORD10151</t>
  </si>
  <si>
    <t>ORD10152</t>
  </si>
  <si>
    <t>ORD10153</t>
  </si>
  <si>
    <t>Riya Yadav</t>
  </si>
  <si>
    <t>ORD10154</t>
  </si>
  <si>
    <t>Rahul Gupta</t>
  </si>
  <si>
    <t>ORD10155</t>
  </si>
  <si>
    <t>Meera Gupta</t>
  </si>
  <si>
    <t>ORD10156</t>
  </si>
  <si>
    <t>Vivaan Kumar</t>
  </si>
  <si>
    <t>ORD10157</t>
  </si>
  <si>
    <t>Vikas Jain</t>
  </si>
  <si>
    <t>ORD10158</t>
  </si>
  <si>
    <t>ORD10159</t>
  </si>
  <si>
    <t>Vikas Verma</t>
  </si>
  <si>
    <t>ORD10160</t>
  </si>
  <si>
    <t>ORD10161</t>
  </si>
  <si>
    <t>ORD10162</t>
  </si>
  <si>
    <t>Kavya Gupta</t>
  </si>
  <si>
    <t>ORD10163</t>
  </si>
  <si>
    <t>Rahul Agarwal</t>
  </si>
  <si>
    <t>ORD10164</t>
  </si>
  <si>
    <t>ORD10165</t>
  </si>
  <si>
    <t>ORD10166</t>
  </si>
  <si>
    <t>ORD10167</t>
  </si>
  <si>
    <t>Kavya Sharma</t>
  </si>
  <si>
    <t>ORD10168</t>
  </si>
  <si>
    <t>ORD10169</t>
  </si>
  <si>
    <t>ORD10170</t>
  </si>
  <si>
    <t>ORD10171</t>
  </si>
  <si>
    <t>ORD10172</t>
  </si>
  <si>
    <t>Neha Yadav</t>
  </si>
  <si>
    <t>ORD10173</t>
  </si>
  <si>
    <t>ORD10174</t>
  </si>
  <si>
    <t>ORD10175</t>
  </si>
  <si>
    <t>Aman Sharma</t>
  </si>
  <si>
    <t>ORD10176</t>
  </si>
  <si>
    <t>ORD10177</t>
  </si>
  <si>
    <t>ORD10178</t>
  </si>
  <si>
    <t>ORD10179</t>
  </si>
  <si>
    <t>ORD10180</t>
  </si>
  <si>
    <t>Karan Verma</t>
  </si>
  <si>
    <t>ORD10181</t>
  </si>
  <si>
    <t>ORD10182</t>
  </si>
  <si>
    <t>ORD10183</t>
  </si>
  <si>
    <t>Pooja Agarwal</t>
  </si>
  <si>
    <t>ORD10184</t>
  </si>
  <si>
    <t>Sneha Mishra</t>
  </si>
  <si>
    <t>ORD10185</t>
  </si>
  <si>
    <t>ORD10186</t>
  </si>
  <si>
    <t>ORD10187</t>
  </si>
  <si>
    <t>ORD10188</t>
  </si>
  <si>
    <t>ORD10189</t>
  </si>
  <si>
    <t>Isha Kumar</t>
  </si>
  <si>
    <t>ORD10190</t>
  </si>
  <si>
    <t>ORD10191</t>
  </si>
  <si>
    <t>ORD10192</t>
  </si>
  <si>
    <t>ORD10193</t>
  </si>
  <si>
    <t>Meera Kumar</t>
  </si>
  <si>
    <t>ORD10194</t>
  </si>
  <si>
    <t>ORD10195</t>
  </si>
  <si>
    <t>ORD10196</t>
  </si>
  <si>
    <t>ORD10197</t>
  </si>
  <si>
    <t>ORD10198</t>
  </si>
  <si>
    <t>ORD10199</t>
  </si>
  <si>
    <t>Vivaan Sharma</t>
  </si>
  <si>
    <t>ORD10200</t>
  </si>
  <si>
    <t>Meera Yadav</t>
  </si>
  <si>
    <t>ORD10201</t>
  </si>
  <si>
    <t>Practice_Rules</t>
  </si>
  <si>
    <t>Do not add Sales/Revenue/Profit/Net Amount columns initially.</t>
  </si>
  <si>
    <t>Use formulas to calculate required metrics yourself.</t>
  </si>
  <si>
    <t>Use Raw_Data for Excel, Power Query, Power Pivot, SQL and Python practice.</t>
  </si>
  <si>
    <t>The blank/text-space records are intentional data-cleaning practice.</t>
  </si>
  <si>
    <t>Start with Excel, then SQL, Python and Power BI.</t>
  </si>
  <si>
    <t>Gross Sales</t>
  </si>
  <si>
    <t>Discount Amt</t>
  </si>
  <si>
    <t>Net Sales</t>
  </si>
  <si>
    <t>KPIs</t>
  </si>
  <si>
    <t>Values</t>
  </si>
  <si>
    <t>Total Orders</t>
  </si>
  <si>
    <t>Total Discount</t>
  </si>
  <si>
    <t>Max Sale</t>
  </si>
  <si>
    <t>Min Sales</t>
  </si>
  <si>
    <t>Average Discount</t>
  </si>
  <si>
    <t>Total Quantity sold</t>
  </si>
  <si>
    <t>Aov</t>
  </si>
  <si>
    <t>Unique Customers</t>
  </si>
  <si>
    <t>Average Units Per order</t>
  </si>
  <si>
    <t>Row Labels</t>
  </si>
  <si>
    <t>Grand Total</t>
  </si>
  <si>
    <t>Sales By Region</t>
  </si>
  <si>
    <t>Count of Order_ID</t>
  </si>
  <si>
    <t>Sum of Quantity</t>
  </si>
  <si>
    <t>Category Analysis</t>
  </si>
  <si>
    <t>(blank)</t>
  </si>
  <si>
    <t>Salesman Performance</t>
  </si>
  <si>
    <t>Jan</t>
  </si>
  <si>
    <t>Feb</t>
  </si>
  <si>
    <t>Mar</t>
  </si>
  <si>
    <t>Apr</t>
  </si>
  <si>
    <t>May</t>
  </si>
  <si>
    <t>Jun</t>
  </si>
  <si>
    <t>Jul</t>
  </si>
  <si>
    <t>Aug</t>
  </si>
  <si>
    <t>Sep</t>
  </si>
  <si>
    <t>Sales Trend</t>
  </si>
  <si>
    <t>Top 10 products</t>
  </si>
  <si>
    <t>BUSINESS SALES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</si>
</sst>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name val="Calibri"/>
      <family val="2"/>
    </font>
    <font>
      <b/>
      <sz val="11"/>
      <color theme="1"/>
      <name val="Calibri"/>
      <family val="2"/>
      <scheme val="minor"/>
    </font>
    <font>
      <b/>
      <sz val="26"/>
      <color theme="1"/>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theme="3" tint="0.79998168889431442"/>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164" fontId="0" fillId="0" borderId="0" xfId="0" applyNumberFormat="1"/>
    <xf numFmtId="0" fontId="1" fillId="0" borderId="2" xfId="0" applyFont="1" applyFill="1" applyBorder="1" applyAlignment="1">
      <alignment horizontal="center" vertical="top"/>
    </xf>
    <xf numFmtId="0" fontId="2" fillId="0" borderId="0" xfId="0" applyFont="1"/>
    <xf numFmtId="0" fontId="0" fillId="0" borderId="0" xfId="0" applyAlignment="1">
      <alignment horizontal="left" indent="6"/>
    </xf>
    <xf numFmtId="0" fontId="0" fillId="0" borderId="0" xfId="0" applyAlignment="1">
      <alignment horizontal="left"/>
    </xf>
    <xf numFmtId="0" fontId="0" fillId="0" borderId="0" xfId="0" applyAlignment="1">
      <alignment horizontal="left" indent="10"/>
    </xf>
    <xf numFmtId="0" fontId="0" fillId="0" borderId="0" xfId="0" pivotButton="1"/>
    <xf numFmtId="0" fontId="0" fillId="0" borderId="0" xfId="0" applyNumberFormat="1"/>
    <xf numFmtId="0" fontId="0" fillId="2" borderId="0" xfId="0" applyFill="1"/>
    <xf numFmtId="0" fontId="3" fillId="3" borderId="0" xfId="0" applyFont="1" applyFill="1" applyAlignment="1">
      <alignment horizontal="center"/>
    </xf>
  </cellXfs>
  <cellStyles count="1">
    <cellStyle name="Normal" xfId="0" builtinId="0"/>
  </cellStyles>
  <dxfs count="5">
    <dxf>
      <font>
        <b/>
        <i val="0"/>
        <strike val="0"/>
        <condense val="0"/>
        <extend val="0"/>
        <outline val="0"/>
        <shadow val="0"/>
        <u val="none"/>
        <vertAlign val="baseline"/>
        <sz val="11"/>
        <color theme="1"/>
        <name val="Calibri"/>
        <family val="2"/>
        <scheme val="minor"/>
      </font>
    </dxf>
    <dxf>
      <numFmt numFmtId="0" formatCode="General"/>
    </dxf>
    <dxf>
      <numFmt numFmtId="0" formatCode="General"/>
    </dxf>
    <dxf>
      <font>
        <b/>
        <i val="0"/>
        <strike val="0"/>
        <condense val="0"/>
        <extend val="0"/>
        <outline val="0"/>
        <shadow val="0"/>
        <u val="none"/>
        <vertAlign val="baseline"/>
        <sz val="11"/>
        <color auto="1"/>
        <name val="Calibri"/>
        <family val="2"/>
        <scheme val="none"/>
      </font>
      <fill>
        <patternFill patternType="none">
          <fgColor indexed="64"/>
          <bgColor indexed="65"/>
        </patternFill>
      </fill>
      <alignment horizontal="center" vertical="top" textRotation="0" wrapText="0" indent="0" justifyLastLine="0" shrinkToFit="0" readingOrder="0"/>
      <border diagonalUp="0" diagonalDown="0" outline="0">
        <left style="thin">
          <color auto="1"/>
        </left>
        <right style="thin">
          <color auto="1"/>
        </right>
        <top/>
        <bottom/>
      </border>
    </dxf>
    <dxf>
      <numFmt numFmtId="164" formatCode="yyyy\-mm\-dd"/>
    </dxf>
  </dxfs>
  <tableStyles count="0" defaultTableStyle="TableStyleMedium9" defaultPivotStyle="PivotStyleLight16"/>
  <colors>
    <mruColors>
      <color rgb="FF4472C4"/>
      <color rgb="FF17365D"/>
      <color rgb="FF5B9BD5"/>
      <color rgb="FF2F5597"/>
      <color rgb="FF00A6A6"/>
      <color rgb="FFF5F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[Data_Analyst_Practice_Raw_Dataset (2).xlsx]Pivot_Table!PivotTable1</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Pivot_Table!$B$3</c:f>
              <c:strCache>
                <c:ptCount val="1"/>
                <c:pt idx="0">
                  <c:v>Category Analysis</c:v>
                </c:pt>
              </c:strCache>
            </c:strRef>
          </c:tx>
          <c:spPr>
            <a:solidFill>
              <a:schemeClr val="accent1"/>
            </a:solidFill>
            <a:ln>
              <a:noFill/>
            </a:ln>
            <a:effectLst/>
          </c:spPr>
          <c:invertIfNegative val="0"/>
          <c:cat>
            <c:strRef>
              <c:f>Pivot_Table!$A$4:$A$7</c:f>
              <c:strCache>
                <c:ptCount val="3"/>
                <c:pt idx="0">
                  <c:v>Electronics</c:v>
                </c:pt>
                <c:pt idx="1">
                  <c:v>Furniture</c:v>
                </c:pt>
                <c:pt idx="2">
                  <c:v>Office Supplies</c:v>
                </c:pt>
              </c:strCache>
            </c:strRef>
          </c:cat>
          <c:val>
            <c:numRef>
              <c:f>Pivot_Table!$B$4:$B$7</c:f>
              <c:numCache>
                <c:formatCode>General</c:formatCode>
                <c:ptCount val="3"/>
                <c:pt idx="0">
                  <c:v>1128835</c:v>
                </c:pt>
                <c:pt idx="1">
                  <c:v>1569405</c:v>
                </c:pt>
                <c:pt idx="2">
                  <c:v>64769.5</c:v>
                </c:pt>
              </c:numCache>
            </c:numRef>
          </c:val>
          <c:extLst>
            <c:ext xmlns:c16="http://schemas.microsoft.com/office/drawing/2014/chart" uri="{C3380CC4-5D6E-409C-BE32-E72D297353CC}">
              <c16:uniqueId val="{00000000-C9F9-47F4-AAE9-ED6B38A15808}"/>
            </c:ext>
          </c:extLst>
        </c:ser>
        <c:ser>
          <c:idx val="1"/>
          <c:order val="1"/>
          <c:tx>
            <c:strRef>
              <c:f>Pivot_Table!$C$3</c:f>
              <c:strCache>
                <c:ptCount val="1"/>
                <c:pt idx="0">
                  <c:v>Sum of Quantity</c:v>
                </c:pt>
              </c:strCache>
            </c:strRef>
          </c:tx>
          <c:spPr>
            <a:solidFill>
              <a:schemeClr val="accent2"/>
            </a:solidFill>
            <a:ln>
              <a:noFill/>
            </a:ln>
            <a:effectLst/>
          </c:spPr>
          <c:invertIfNegative val="0"/>
          <c:cat>
            <c:strRef>
              <c:f>Pivot_Table!$A$4:$A$7</c:f>
              <c:strCache>
                <c:ptCount val="3"/>
                <c:pt idx="0">
                  <c:v>Electronics</c:v>
                </c:pt>
                <c:pt idx="1">
                  <c:v>Furniture</c:v>
                </c:pt>
                <c:pt idx="2">
                  <c:v>Office Supplies</c:v>
                </c:pt>
              </c:strCache>
            </c:strRef>
          </c:cat>
          <c:val>
            <c:numRef>
              <c:f>Pivot_Table!$C$4:$C$7</c:f>
              <c:numCache>
                <c:formatCode>General</c:formatCode>
                <c:ptCount val="3"/>
                <c:pt idx="0">
                  <c:v>289</c:v>
                </c:pt>
                <c:pt idx="1">
                  <c:v>278</c:v>
                </c:pt>
                <c:pt idx="2">
                  <c:v>300</c:v>
                </c:pt>
              </c:numCache>
            </c:numRef>
          </c:val>
          <c:extLst>
            <c:ext xmlns:c16="http://schemas.microsoft.com/office/drawing/2014/chart" uri="{C3380CC4-5D6E-409C-BE32-E72D297353CC}">
              <c16:uniqueId val="{00000001-C9F9-47F4-AAE9-ED6B38A15808}"/>
            </c:ext>
          </c:extLst>
        </c:ser>
        <c:ser>
          <c:idx val="2"/>
          <c:order val="2"/>
          <c:tx>
            <c:strRef>
              <c:f>Pivot_Table!$D$3</c:f>
              <c:strCache>
                <c:ptCount val="1"/>
                <c:pt idx="0">
                  <c:v>Count of Order_ID</c:v>
                </c:pt>
              </c:strCache>
            </c:strRef>
          </c:tx>
          <c:spPr>
            <a:solidFill>
              <a:schemeClr val="accent3"/>
            </a:solidFill>
            <a:ln>
              <a:noFill/>
            </a:ln>
            <a:effectLst/>
          </c:spPr>
          <c:invertIfNegative val="0"/>
          <c:cat>
            <c:strRef>
              <c:f>Pivot_Table!$A$4:$A$7</c:f>
              <c:strCache>
                <c:ptCount val="3"/>
                <c:pt idx="0">
                  <c:v>Electronics</c:v>
                </c:pt>
                <c:pt idx="1">
                  <c:v>Furniture</c:v>
                </c:pt>
                <c:pt idx="2">
                  <c:v>Office Supplies</c:v>
                </c:pt>
              </c:strCache>
            </c:strRef>
          </c:cat>
          <c:val>
            <c:numRef>
              <c:f>Pivot_Table!$D$4:$D$7</c:f>
              <c:numCache>
                <c:formatCode>General</c:formatCode>
                <c:ptCount val="3"/>
                <c:pt idx="0">
                  <c:v>63</c:v>
                </c:pt>
                <c:pt idx="1">
                  <c:v>71</c:v>
                </c:pt>
                <c:pt idx="2">
                  <c:v>66</c:v>
                </c:pt>
              </c:numCache>
            </c:numRef>
          </c:val>
          <c:extLst>
            <c:ext xmlns:c16="http://schemas.microsoft.com/office/drawing/2014/chart" uri="{C3380CC4-5D6E-409C-BE32-E72D297353CC}">
              <c16:uniqueId val="{00000002-C9F9-47F4-AAE9-ED6B38A15808}"/>
            </c:ext>
          </c:extLst>
        </c:ser>
        <c:dLbls>
          <c:showLegendKey val="0"/>
          <c:showVal val="0"/>
          <c:showCatName val="0"/>
          <c:showSerName val="0"/>
          <c:showPercent val="0"/>
          <c:showBubbleSize val="0"/>
        </c:dLbls>
        <c:gapWidth val="219"/>
        <c:overlap val="-27"/>
        <c:axId val="1190386671"/>
        <c:axId val="1130045199"/>
      </c:barChart>
      <c:catAx>
        <c:axId val="1190386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0045199"/>
        <c:crosses val="autoZero"/>
        <c:auto val="1"/>
        <c:lblAlgn val="ctr"/>
        <c:lblOffset val="100"/>
        <c:noMultiLvlLbl val="0"/>
      </c:catAx>
      <c:valAx>
        <c:axId val="1130045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386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[Data_Analyst_Practice_Raw_Dataset (2).xlsx]Pivot_Table!PivotTable4</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Pivot_Table!$G$3</c:f>
              <c:strCache>
                <c:ptCount val="1"/>
                <c:pt idx="0">
                  <c:v>Sales By Region</c:v>
                </c:pt>
              </c:strCache>
            </c:strRef>
          </c:tx>
          <c:spPr>
            <a:solidFill>
              <a:schemeClr val="accent1"/>
            </a:solidFill>
            <a:ln>
              <a:noFill/>
            </a:ln>
            <a:effectLst/>
          </c:spPr>
          <c:invertIfNegative val="0"/>
          <c:cat>
            <c:strRef>
              <c:f>Pivot_Table!$F$4:$F$8</c:f>
              <c:strCache>
                <c:ptCount val="4"/>
                <c:pt idx="0">
                  <c:v>East</c:v>
                </c:pt>
                <c:pt idx="1">
                  <c:v>North</c:v>
                </c:pt>
                <c:pt idx="2">
                  <c:v>South</c:v>
                </c:pt>
                <c:pt idx="3">
                  <c:v>West</c:v>
                </c:pt>
              </c:strCache>
            </c:strRef>
          </c:cat>
          <c:val>
            <c:numRef>
              <c:f>Pivot_Table!$G$4:$G$8</c:f>
              <c:numCache>
                <c:formatCode>General</c:formatCode>
                <c:ptCount val="4"/>
                <c:pt idx="0">
                  <c:v>597873</c:v>
                </c:pt>
                <c:pt idx="1">
                  <c:v>902656</c:v>
                </c:pt>
                <c:pt idx="2">
                  <c:v>594546.5</c:v>
                </c:pt>
                <c:pt idx="3">
                  <c:v>667934</c:v>
                </c:pt>
              </c:numCache>
            </c:numRef>
          </c:val>
          <c:extLst>
            <c:ext xmlns:c16="http://schemas.microsoft.com/office/drawing/2014/chart" uri="{C3380CC4-5D6E-409C-BE32-E72D297353CC}">
              <c16:uniqueId val="{00000000-3B0D-42E7-9DBA-9E283DD90B19}"/>
            </c:ext>
          </c:extLst>
        </c:ser>
        <c:ser>
          <c:idx val="1"/>
          <c:order val="1"/>
          <c:tx>
            <c:strRef>
              <c:f>Pivot_Table!$H$3</c:f>
              <c:strCache>
                <c:ptCount val="1"/>
                <c:pt idx="0">
                  <c:v>Count of Order_ID</c:v>
                </c:pt>
              </c:strCache>
            </c:strRef>
          </c:tx>
          <c:spPr>
            <a:solidFill>
              <a:schemeClr val="accent2"/>
            </a:solidFill>
            <a:ln>
              <a:noFill/>
            </a:ln>
            <a:effectLst/>
          </c:spPr>
          <c:invertIfNegative val="0"/>
          <c:cat>
            <c:strRef>
              <c:f>Pivot_Table!$F$4:$F$8</c:f>
              <c:strCache>
                <c:ptCount val="4"/>
                <c:pt idx="0">
                  <c:v>East</c:v>
                </c:pt>
                <c:pt idx="1">
                  <c:v>North</c:v>
                </c:pt>
                <c:pt idx="2">
                  <c:v>South</c:v>
                </c:pt>
                <c:pt idx="3">
                  <c:v>West</c:v>
                </c:pt>
              </c:strCache>
            </c:strRef>
          </c:cat>
          <c:val>
            <c:numRef>
              <c:f>Pivot_Table!$H$4:$H$8</c:f>
              <c:numCache>
                <c:formatCode>General</c:formatCode>
                <c:ptCount val="4"/>
                <c:pt idx="0">
                  <c:v>44</c:v>
                </c:pt>
                <c:pt idx="1">
                  <c:v>69</c:v>
                </c:pt>
                <c:pt idx="2">
                  <c:v>38</c:v>
                </c:pt>
                <c:pt idx="3">
                  <c:v>49</c:v>
                </c:pt>
              </c:numCache>
            </c:numRef>
          </c:val>
          <c:extLst>
            <c:ext xmlns:c16="http://schemas.microsoft.com/office/drawing/2014/chart" uri="{C3380CC4-5D6E-409C-BE32-E72D297353CC}">
              <c16:uniqueId val="{00000001-3B0D-42E7-9DBA-9E283DD90B19}"/>
            </c:ext>
          </c:extLst>
        </c:ser>
        <c:dLbls>
          <c:showLegendKey val="0"/>
          <c:showVal val="0"/>
          <c:showCatName val="0"/>
          <c:showSerName val="0"/>
          <c:showPercent val="0"/>
          <c:showBubbleSize val="0"/>
        </c:dLbls>
        <c:gapWidth val="182"/>
        <c:axId val="1190397807"/>
        <c:axId val="1130001519"/>
      </c:barChart>
      <c:catAx>
        <c:axId val="119039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0001519"/>
        <c:crosses val="autoZero"/>
        <c:auto val="1"/>
        <c:lblAlgn val="ctr"/>
        <c:lblOffset val="100"/>
        <c:noMultiLvlLbl val="0"/>
      </c:catAx>
      <c:valAx>
        <c:axId val="11300015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039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[Data_Analyst_Practice_Raw_Dataset (2).xlsx]Pivot_Table!PivotTable5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Salesman Performance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Pivot_Table!$B$11</c:f>
              <c:strCache>
                <c:ptCount val="1"/>
                <c:pt idx="0">
                  <c:v>Salesman Performance</c:v>
                </c:pt>
              </c:strCache>
            </c:strRef>
          </c:tx>
          <c:spPr>
            <a:solidFill>
              <a:schemeClr val="accent1"/>
            </a:solidFill>
            <a:ln>
              <a:noFill/>
            </a:ln>
            <a:effectLst/>
          </c:spPr>
          <c:invertIfNegative val="0"/>
          <c:cat>
            <c:strRef>
              <c:f>Pivot_Table!$A$12:$A$19</c:f>
              <c:strCache>
                <c:ptCount val="7"/>
                <c:pt idx="0">
                  <c:v>Amit</c:v>
                </c:pt>
                <c:pt idx="1">
                  <c:v>Karan</c:v>
                </c:pt>
                <c:pt idx="2">
                  <c:v>Neha</c:v>
                </c:pt>
                <c:pt idx="3">
                  <c:v>Pooja</c:v>
                </c:pt>
                <c:pt idx="4">
                  <c:v>Riya</c:v>
                </c:pt>
                <c:pt idx="5">
                  <c:v>Vikas</c:v>
                </c:pt>
                <c:pt idx="6">
                  <c:v>(blank)</c:v>
                </c:pt>
              </c:strCache>
            </c:strRef>
          </c:cat>
          <c:val>
            <c:numRef>
              <c:f>Pivot_Table!$B$12:$B$19</c:f>
              <c:numCache>
                <c:formatCode>General</c:formatCode>
                <c:ptCount val="7"/>
                <c:pt idx="0">
                  <c:v>522096</c:v>
                </c:pt>
                <c:pt idx="1">
                  <c:v>383015.5</c:v>
                </c:pt>
                <c:pt idx="2">
                  <c:v>563948.5</c:v>
                </c:pt>
                <c:pt idx="3">
                  <c:v>440813.5</c:v>
                </c:pt>
                <c:pt idx="4">
                  <c:v>374842.5</c:v>
                </c:pt>
                <c:pt idx="5">
                  <c:v>477443.5</c:v>
                </c:pt>
                <c:pt idx="6">
                  <c:v>850</c:v>
                </c:pt>
              </c:numCache>
            </c:numRef>
          </c:val>
          <c:extLst>
            <c:ext xmlns:c16="http://schemas.microsoft.com/office/drawing/2014/chart" uri="{C3380CC4-5D6E-409C-BE32-E72D297353CC}">
              <c16:uniqueId val="{00000000-53E9-40F5-AB37-886E80FC3561}"/>
            </c:ext>
          </c:extLst>
        </c:ser>
        <c:ser>
          <c:idx val="1"/>
          <c:order val="1"/>
          <c:tx>
            <c:strRef>
              <c:f>Pivot_Table!$C$11</c:f>
              <c:strCache>
                <c:ptCount val="1"/>
                <c:pt idx="0">
                  <c:v>Count of Order_ID</c:v>
                </c:pt>
              </c:strCache>
            </c:strRef>
          </c:tx>
          <c:spPr>
            <a:solidFill>
              <a:schemeClr val="accent2"/>
            </a:solidFill>
            <a:ln>
              <a:noFill/>
            </a:ln>
            <a:effectLst/>
          </c:spPr>
          <c:invertIfNegative val="0"/>
          <c:cat>
            <c:strRef>
              <c:f>Pivot_Table!$A$12:$A$19</c:f>
              <c:strCache>
                <c:ptCount val="7"/>
                <c:pt idx="0">
                  <c:v>Amit</c:v>
                </c:pt>
                <c:pt idx="1">
                  <c:v>Karan</c:v>
                </c:pt>
                <c:pt idx="2">
                  <c:v>Neha</c:v>
                </c:pt>
                <c:pt idx="3">
                  <c:v>Pooja</c:v>
                </c:pt>
                <c:pt idx="4">
                  <c:v>Riya</c:v>
                </c:pt>
                <c:pt idx="5">
                  <c:v>Vikas</c:v>
                </c:pt>
                <c:pt idx="6">
                  <c:v>(blank)</c:v>
                </c:pt>
              </c:strCache>
            </c:strRef>
          </c:cat>
          <c:val>
            <c:numRef>
              <c:f>Pivot_Table!$C$12:$C$19</c:f>
              <c:numCache>
                <c:formatCode>General</c:formatCode>
                <c:ptCount val="7"/>
                <c:pt idx="0">
                  <c:v>31</c:v>
                </c:pt>
                <c:pt idx="1">
                  <c:v>32</c:v>
                </c:pt>
                <c:pt idx="2">
                  <c:v>43</c:v>
                </c:pt>
                <c:pt idx="3">
                  <c:v>35</c:v>
                </c:pt>
                <c:pt idx="4">
                  <c:v>24</c:v>
                </c:pt>
                <c:pt idx="5">
                  <c:v>34</c:v>
                </c:pt>
                <c:pt idx="6">
                  <c:v>1</c:v>
                </c:pt>
              </c:numCache>
            </c:numRef>
          </c:val>
          <c:extLst>
            <c:ext xmlns:c16="http://schemas.microsoft.com/office/drawing/2014/chart" uri="{C3380CC4-5D6E-409C-BE32-E72D297353CC}">
              <c16:uniqueId val="{00000001-53E9-40F5-AB37-886E80FC3561}"/>
            </c:ext>
          </c:extLst>
        </c:ser>
        <c:dLbls>
          <c:showLegendKey val="0"/>
          <c:showVal val="0"/>
          <c:showCatName val="0"/>
          <c:showSerName val="0"/>
          <c:showPercent val="0"/>
          <c:showBubbleSize val="0"/>
        </c:dLbls>
        <c:gapWidth val="182"/>
        <c:axId val="1305345791"/>
        <c:axId val="1129937199"/>
      </c:barChart>
      <c:catAx>
        <c:axId val="1305345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9937199"/>
        <c:crosses val="autoZero"/>
        <c:auto val="1"/>
        <c:lblAlgn val="ctr"/>
        <c:lblOffset val="100"/>
        <c:noMultiLvlLbl val="0"/>
      </c:catAx>
      <c:valAx>
        <c:axId val="11299371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5345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[Data_Analyst_Practice_Raw_Dataset (2).xlsx]Pivot_Table!PivotTable6</c:name>
    <c:fmtId val="11"/>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Pivot_Table!$F$11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Pivot_Table!$E$12:$E$21</c:f>
              <c:strCache>
                <c:ptCount val="9"/>
                <c:pt idx="0">
                  <c:v>Jan</c:v>
                </c:pt>
                <c:pt idx="1">
                  <c:v>Feb</c:v>
                </c:pt>
                <c:pt idx="2">
                  <c:v>Mar</c:v>
                </c:pt>
                <c:pt idx="3">
                  <c:v>Apr</c:v>
                </c:pt>
                <c:pt idx="4">
                  <c:v>May</c:v>
                </c:pt>
                <c:pt idx="5">
                  <c:v>Jun</c:v>
                </c:pt>
                <c:pt idx="6">
                  <c:v>Jul</c:v>
                </c:pt>
                <c:pt idx="7">
                  <c:v>Aug</c:v>
                </c:pt>
                <c:pt idx="8">
                  <c:v>Sep</c:v>
                </c:pt>
              </c:strCache>
            </c:strRef>
          </c:cat>
          <c:val>
            <c:numRef>
              <c:f>Pivot_Table!$F$12:$F$21</c:f>
              <c:numCache>
                <c:formatCode>General</c:formatCode>
                <c:ptCount val="9"/>
                <c:pt idx="0">
                  <c:v>395426.5</c:v>
                </c:pt>
                <c:pt idx="1">
                  <c:v>337798</c:v>
                </c:pt>
                <c:pt idx="2">
                  <c:v>378263</c:v>
                </c:pt>
                <c:pt idx="3">
                  <c:v>100318.5</c:v>
                </c:pt>
                <c:pt idx="4">
                  <c:v>256890.5</c:v>
                </c:pt>
                <c:pt idx="5">
                  <c:v>504277</c:v>
                </c:pt>
                <c:pt idx="6">
                  <c:v>295532</c:v>
                </c:pt>
                <c:pt idx="7">
                  <c:v>171692</c:v>
                </c:pt>
                <c:pt idx="8">
                  <c:v>322812</c:v>
                </c:pt>
              </c:numCache>
            </c:numRef>
          </c:val>
          <c:smooth val="0"/>
          <c:extLst>
            <c:ext xmlns:c16="http://schemas.microsoft.com/office/drawing/2014/chart" uri="{C3380CC4-5D6E-409C-BE32-E72D297353CC}">
              <c16:uniqueId val="{00000000-C597-4D1F-85A0-C4F05C25F281}"/>
            </c:ext>
          </c:extLst>
        </c:ser>
        <c:dLbls>
          <c:showLegendKey val="0"/>
          <c:showVal val="0"/>
          <c:showCatName val="0"/>
          <c:showSerName val="0"/>
          <c:showPercent val="0"/>
          <c:showBubbleSize val="0"/>
        </c:dLbls>
        <c:marker val="1"/>
        <c:smooth val="0"/>
        <c:axId val="1304315135"/>
        <c:axId val="1130032239"/>
      </c:lineChart>
      <c:catAx>
        <c:axId val="130431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30032239"/>
        <c:crosses val="autoZero"/>
        <c:auto val="1"/>
        <c:lblAlgn val="ctr"/>
        <c:lblOffset val="100"/>
        <c:noMultiLvlLbl val="0"/>
      </c:catAx>
      <c:valAx>
        <c:axId val="1130032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4315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[Data_Analyst_Practice_Raw_Dataset (2).xlsx]Pivot_Table!PivotTable7</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Products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Pivot_Table!$I$11</c:f>
              <c:strCache>
                <c:ptCount val="1"/>
                <c:pt idx="0">
                  <c:v>Total</c:v>
                </c:pt>
              </c:strCache>
            </c:strRef>
          </c:tx>
          <c:spPr>
            <a:solidFill>
              <a:schemeClr val="accent1"/>
            </a:solidFill>
            <a:ln>
              <a:noFill/>
            </a:ln>
            <a:effectLst/>
          </c:spPr>
          <c:invertIfNegative val="0"/>
          <c:cat>
            <c:strRef>
              <c:f>Pivot_Table!$H$12:$H$22</c:f>
              <c:strCache>
                <c:ptCount val="10"/>
                <c:pt idx="0">
                  <c:v>Bookshelf</c:v>
                </c:pt>
                <c:pt idx="1">
                  <c:v>Desk Lamp</c:v>
                </c:pt>
                <c:pt idx="2">
                  <c:v>Filing Cabinet</c:v>
                </c:pt>
                <c:pt idx="3">
                  <c:v>Headphones</c:v>
                </c:pt>
                <c:pt idx="4">
                  <c:v>Keyboard</c:v>
                </c:pt>
                <c:pt idx="5">
                  <c:v>Laptop Stand</c:v>
                </c:pt>
                <c:pt idx="6">
                  <c:v>Monitor</c:v>
                </c:pt>
                <c:pt idx="7">
                  <c:v>Office Chair</c:v>
                </c:pt>
                <c:pt idx="8">
                  <c:v>Study Table</c:v>
                </c:pt>
                <c:pt idx="9">
                  <c:v>Webcam</c:v>
                </c:pt>
              </c:strCache>
            </c:strRef>
          </c:cat>
          <c:val>
            <c:numRef>
              <c:f>Pivot_Table!$I$12:$I$22</c:f>
              <c:numCache>
                <c:formatCode>General</c:formatCode>
                <c:ptCount val="10"/>
                <c:pt idx="0">
                  <c:v>390650</c:v>
                </c:pt>
                <c:pt idx="1">
                  <c:v>92320</c:v>
                </c:pt>
                <c:pt idx="2">
                  <c:v>365310</c:v>
                </c:pt>
                <c:pt idx="3">
                  <c:v>40440</c:v>
                </c:pt>
                <c:pt idx="4">
                  <c:v>38430</c:v>
                </c:pt>
                <c:pt idx="5">
                  <c:v>49140</c:v>
                </c:pt>
                <c:pt idx="6">
                  <c:v>893125</c:v>
                </c:pt>
                <c:pt idx="7">
                  <c:v>383625</c:v>
                </c:pt>
                <c:pt idx="8">
                  <c:v>337500</c:v>
                </c:pt>
                <c:pt idx="9">
                  <c:v>94380</c:v>
                </c:pt>
              </c:numCache>
            </c:numRef>
          </c:val>
          <c:extLst>
            <c:ext xmlns:c16="http://schemas.microsoft.com/office/drawing/2014/chart" uri="{C3380CC4-5D6E-409C-BE32-E72D297353CC}">
              <c16:uniqueId val="{00000000-14F8-4145-81A3-9FBA3523AC71}"/>
            </c:ext>
          </c:extLst>
        </c:ser>
        <c:dLbls>
          <c:showLegendKey val="0"/>
          <c:showVal val="0"/>
          <c:showCatName val="0"/>
          <c:showSerName val="0"/>
          <c:showPercent val="0"/>
          <c:showBubbleSize val="0"/>
        </c:dLbls>
        <c:gapWidth val="182"/>
        <c:axId val="1305343471"/>
        <c:axId val="1129996719"/>
      </c:barChart>
      <c:catAx>
        <c:axId val="1305343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9996719"/>
        <c:crosses val="autoZero"/>
        <c:auto val="1"/>
        <c:lblAlgn val="ctr"/>
        <c:lblOffset val="100"/>
        <c:noMultiLvlLbl val="0"/>
      </c:catAx>
      <c:valAx>
        <c:axId val="112999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0534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20000"/>
        <a:lumOff val="80000"/>
      </a:schemeClr>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svg"/><Relationship Id="rId13" Type="http://schemas.openxmlformats.org/officeDocument/2006/relationships/image" Target="../media/image8.png"/><Relationship Id="rId3" Type="http://schemas.openxmlformats.org/officeDocument/2006/relationships/chart" Target="../charts/chart3.xml"/><Relationship Id="rId7" Type="http://schemas.openxmlformats.org/officeDocument/2006/relationships/image" Target="../media/image2.png"/><Relationship Id="rId12" Type="http://schemas.openxmlformats.org/officeDocument/2006/relationships/image" Target="../media/image7.svg"/><Relationship Id="rId2" Type="http://schemas.openxmlformats.org/officeDocument/2006/relationships/chart" Target="../charts/chart2.xml"/><Relationship Id="rId16" Type="http://schemas.openxmlformats.org/officeDocument/2006/relationships/image" Target="../media/image11.sv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5.xml"/><Relationship Id="rId15" Type="http://schemas.openxmlformats.org/officeDocument/2006/relationships/image" Target="../media/image10.png"/><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0</xdr:col>
      <xdr:colOff>45720</xdr:colOff>
      <xdr:row>6</xdr:row>
      <xdr:rowOff>129540</xdr:rowOff>
    </xdr:from>
    <xdr:to>
      <xdr:col>6</xdr:col>
      <xdr:colOff>502920</xdr:colOff>
      <xdr:row>19</xdr:row>
      <xdr:rowOff>152400</xdr:rowOff>
    </xdr:to>
    <xdr:graphicFrame macro="">
      <xdr:nvGraphicFramePr>
        <xdr:cNvPr id="2" name="Chart 1">
          <a:extLst>
            <a:ext uri="{FF2B5EF4-FFF2-40B4-BE49-F238E27FC236}">
              <a16:creationId xmlns:a16="http://schemas.microsoft.com/office/drawing/2014/main" id="{784D08B5-876C-4BAC-A760-D580631AB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556260</xdr:colOff>
      <xdr:row>6</xdr:row>
      <xdr:rowOff>137160</xdr:rowOff>
    </xdr:from>
    <xdr:to>
      <xdr:col>13</xdr:col>
      <xdr:colOff>160020</xdr:colOff>
      <xdr:row>19</xdr:row>
      <xdr:rowOff>160020</xdr:rowOff>
    </xdr:to>
    <xdr:graphicFrame macro="">
      <xdr:nvGraphicFramePr>
        <xdr:cNvPr id="3" name="Chart 2">
          <a:extLst>
            <a:ext uri="{FF2B5EF4-FFF2-40B4-BE49-F238E27FC236}">
              <a16:creationId xmlns:a16="http://schemas.microsoft.com/office/drawing/2014/main" id="{53CA8AA4-EAF7-4CE6-A860-D62C003B6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20</xdr:row>
      <xdr:rowOff>60960</xdr:rowOff>
    </xdr:from>
    <xdr:to>
      <xdr:col>6</xdr:col>
      <xdr:colOff>320040</xdr:colOff>
      <xdr:row>31</xdr:row>
      <xdr:rowOff>60960</xdr:rowOff>
    </xdr:to>
    <xdr:graphicFrame macro="">
      <xdr:nvGraphicFramePr>
        <xdr:cNvPr id="4" name="Chart 3">
          <a:extLst>
            <a:ext uri="{FF2B5EF4-FFF2-40B4-BE49-F238E27FC236}">
              <a16:creationId xmlns:a16="http://schemas.microsoft.com/office/drawing/2014/main" id="{4AD23B67-AAB7-4D49-B4BA-D8330F2797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243840</xdr:colOff>
      <xdr:row>15</xdr:row>
      <xdr:rowOff>175260</xdr:rowOff>
    </xdr:from>
    <xdr:to>
      <xdr:col>19</xdr:col>
      <xdr:colOff>480060</xdr:colOff>
      <xdr:row>31</xdr:row>
      <xdr:rowOff>45720</xdr:rowOff>
    </xdr:to>
    <xdr:graphicFrame macro="">
      <xdr:nvGraphicFramePr>
        <xdr:cNvPr id="5" name="Chart 4">
          <a:extLst>
            <a:ext uri="{FF2B5EF4-FFF2-40B4-BE49-F238E27FC236}">
              <a16:creationId xmlns:a16="http://schemas.microsoft.com/office/drawing/2014/main" id="{86C85DD2-4C79-4E31-AB29-2555D4838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22860</xdr:colOff>
      <xdr:row>6</xdr:row>
      <xdr:rowOff>144781</xdr:rowOff>
    </xdr:from>
    <xdr:to>
      <xdr:col>16</xdr:col>
      <xdr:colOff>327660</xdr:colOff>
      <xdr:row>15</xdr:row>
      <xdr:rowOff>91440</xdr:rowOff>
    </xdr:to>
    <mc:AlternateContent xmlns:mc="http://schemas.openxmlformats.org/markup-compatibility/2006">
      <mc:Choice xmlns:a14="http://schemas.microsoft.com/office/drawing/2010/main" Requires="a14">
        <xdr:graphicFrame macro="">
          <xdr:nvGraphicFramePr>
            <xdr:cNvPr id="6" name="Payment_Mode">
              <a:extLst>
                <a:ext uri="{FF2B5EF4-FFF2-40B4-BE49-F238E27FC236}">
                  <a16:creationId xmlns:a16="http://schemas.microsoft.com/office/drawing/2014/main" id="{35B9E717-8592-4983-AD7C-5E79F59999FA}"/>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9166860" y="1242061"/>
              <a:ext cx="914400" cy="159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6</xdr:row>
      <xdr:rowOff>152401</xdr:rowOff>
    </xdr:from>
    <xdr:to>
      <xdr:col>18</xdr:col>
      <xdr:colOff>99060</xdr:colOff>
      <xdr:row>15</xdr:row>
      <xdr:rowOff>83820</xdr:rowOff>
    </xdr:to>
    <mc:AlternateContent xmlns:mc="http://schemas.openxmlformats.org/markup-compatibility/2006">
      <mc:Choice xmlns:a14="http://schemas.microsoft.com/office/drawing/2010/main" Requires="a14">
        <xdr:graphicFrame macro="">
          <xdr:nvGraphicFramePr>
            <xdr:cNvPr id="7" name="Category">
              <a:extLst>
                <a:ext uri="{FF2B5EF4-FFF2-40B4-BE49-F238E27FC236}">
                  <a16:creationId xmlns:a16="http://schemas.microsoft.com/office/drawing/2014/main" id="{811EA9A7-CAA7-49B5-931B-9D1C1B8DC2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0126980" y="1249681"/>
              <a:ext cx="94488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6</xdr:row>
      <xdr:rowOff>152401</xdr:rowOff>
    </xdr:from>
    <xdr:to>
      <xdr:col>14</xdr:col>
      <xdr:colOff>586740</xdr:colOff>
      <xdr:row>15</xdr:row>
      <xdr:rowOff>91441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03CBDE1-3493-421A-96B8-CD2A15DD140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07680" y="1249681"/>
              <a:ext cx="101346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144780</xdr:colOff>
      <xdr:row>6</xdr:row>
      <xdr:rowOff>152401</xdr:rowOff>
    </xdr:from>
    <xdr:to>
      <xdr:col>19</xdr:col>
      <xdr:colOff>441960</xdr:colOff>
      <xdr:row>15</xdr:row>
      <xdr:rowOff>91441</xdr:rowOff>
    </xdr:to>
    <mc:AlternateContent xmlns:mc="http://schemas.openxmlformats.org/markup-compatibility/2006">
      <mc:Choice xmlns:a14="http://schemas.microsoft.com/office/drawing/2010/main" Requires="a14">
        <xdr:graphicFrame macro="">
          <xdr:nvGraphicFramePr>
            <xdr:cNvPr id="9" name="Customer_Segment">
              <a:extLst>
                <a:ext uri="{FF2B5EF4-FFF2-40B4-BE49-F238E27FC236}">
                  <a16:creationId xmlns:a16="http://schemas.microsoft.com/office/drawing/2014/main" id="{FE8A6BCE-242F-4917-BC43-07B3E4528498}"/>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1117580" y="1249681"/>
              <a:ext cx="90678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68580</xdr:colOff>
      <xdr:row>2</xdr:row>
      <xdr:rowOff>68580</xdr:rowOff>
    </xdr:from>
    <xdr:to>
      <xdr:col>2</xdr:col>
      <xdr:colOff>411480</xdr:colOff>
      <xdr:row>5</xdr:row>
      <xdr:rowOff>167640</xdr:rowOff>
    </xdr:to>
    <xdr:sp macro="" textlink="">
      <xdr:nvSpPr>
        <xdr:cNvPr id="10" name="Rectangle: Rounded Corners 9">
          <a:extLst>
            <a:ext uri="{FF2B5EF4-FFF2-40B4-BE49-F238E27FC236}">
              <a16:creationId xmlns:a16="http://schemas.microsoft.com/office/drawing/2014/main" id="{BC47A53B-AABD-5113-54A9-1B521B5CB627}"/>
            </a:ext>
          </a:extLst>
        </xdr:cNvPr>
        <xdr:cNvSpPr/>
      </xdr:nvSpPr>
      <xdr:spPr>
        <a:xfrm>
          <a:off x="68580" y="43434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403860</xdr:colOff>
      <xdr:row>2</xdr:row>
      <xdr:rowOff>30480</xdr:rowOff>
    </xdr:from>
    <xdr:ext cx="1120140" cy="198120"/>
    <xdr:sp macro="" textlink="KPIs!A2">
      <xdr:nvSpPr>
        <xdr:cNvPr id="11" name="TextBox 10">
          <a:extLst>
            <a:ext uri="{FF2B5EF4-FFF2-40B4-BE49-F238E27FC236}">
              <a16:creationId xmlns:a16="http://schemas.microsoft.com/office/drawing/2014/main" id="{8E8AF3F1-1300-A2F3-B3DC-154110696E7B}"/>
            </a:ext>
          </a:extLst>
        </xdr:cNvPr>
        <xdr:cNvSpPr txBox="1"/>
      </xdr:nvSpPr>
      <xdr:spPr>
        <a:xfrm>
          <a:off x="403860" y="39624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993AC93-EC4F-4B15-88E7-3C3CC8C26596}" type="TxLink">
            <a:rPr lang="en-US" sz="1100" b="0" i="0" u="none" strike="noStrike">
              <a:solidFill>
                <a:srgbClr val="000000"/>
              </a:solidFill>
              <a:latin typeface="Calibri"/>
              <a:ea typeface="Calibri"/>
              <a:cs typeface="Calibri"/>
            </a:rPr>
            <a:t>Total Orders</a:t>
          </a:fld>
          <a:endParaRPr lang="en-IN" sz="1100"/>
        </a:p>
      </xdr:txBody>
    </xdr:sp>
    <xdr:clientData/>
  </xdr:oneCellAnchor>
  <xdr:oneCellAnchor>
    <xdr:from>
      <xdr:col>1</xdr:col>
      <xdr:colOff>30480</xdr:colOff>
      <xdr:row>4</xdr:row>
      <xdr:rowOff>137160</xdr:rowOff>
    </xdr:from>
    <xdr:ext cx="1120140" cy="198120"/>
    <xdr:sp macro="" textlink="KPIs!B2">
      <xdr:nvSpPr>
        <xdr:cNvPr id="13" name="TextBox 12">
          <a:extLst>
            <a:ext uri="{FF2B5EF4-FFF2-40B4-BE49-F238E27FC236}">
              <a16:creationId xmlns:a16="http://schemas.microsoft.com/office/drawing/2014/main" id="{55CE396F-CEA2-483E-B497-77B4D21DAD40}"/>
            </a:ext>
          </a:extLst>
        </xdr:cNvPr>
        <xdr:cNvSpPr txBox="1"/>
      </xdr:nvSpPr>
      <xdr:spPr>
        <a:xfrm>
          <a:off x="640080" y="86868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9D6415C-E0EE-40F3-B3E4-BDCFB6E3905E}" type="TxLink">
            <a:rPr lang="en-US" sz="1100" b="0" i="0" u="none" strike="noStrike">
              <a:solidFill>
                <a:srgbClr val="000000"/>
              </a:solidFill>
              <a:latin typeface="Calibri"/>
              <a:ea typeface="Calibri"/>
              <a:cs typeface="Calibri"/>
            </a:rPr>
            <a:t>200</a:t>
          </a:fld>
          <a:endParaRPr lang="en-IN" sz="1100"/>
        </a:p>
      </xdr:txBody>
    </xdr:sp>
    <xdr:clientData/>
  </xdr:oneCellAnchor>
  <xdr:twoCellAnchor>
    <xdr:from>
      <xdr:col>3</xdr:col>
      <xdr:colOff>243840</xdr:colOff>
      <xdr:row>2</xdr:row>
      <xdr:rowOff>91440</xdr:rowOff>
    </xdr:from>
    <xdr:to>
      <xdr:col>5</xdr:col>
      <xdr:colOff>586740</xdr:colOff>
      <xdr:row>6</xdr:row>
      <xdr:rowOff>7620</xdr:rowOff>
    </xdr:to>
    <xdr:sp macro="" textlink="">
      <xdr:nvSpPr>
        <xdr:cNvPr id="14" name="Rectangle: Rounded Corners 13">
          <a:extLst>
            <a:ext uri="{FF2B5EF4-FFF2-40B4-BE49-F238E27FC236}">
              <a16:creationId xmlns:a16="http://schemas.microsoft.com/office/drawing/2014/main" id="{96A1E52C-9B28-4463-A459-B8400929A3D3}"/>
            </a:ext>
          </a:extLst>
        </xdr:cNvPr>
        <xdr:cNvSpPr/>
      </xdr:nvSpPr>
      <xdr:spPr>
        <a:xfrm>
          <a:off x="2072640" y="45720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464820</xdr:colOff>
      <xdr:row>2</xdr:row>
      <xdr:rowOff>68580</xdr:rowOff>
    </xdr:from>
    <xdr:to>
      <xdr:col>9</xdr:col>
      <xdr:colOff>198120</xdr:colOff>
      <xdr:row>5</xdr:row>
      <xdr:rowOff>167640</xdr:rowOff>
    </xdr:to>
    <xdr:sp macro="" textlink="">
      <xdr:nvSpPr>
        <xdr:cNvPr id="15" name="Rectangle: Rounded Corners 14">
          <a:extLst>
            <a:ext uri="{FF2B5EF4-FFF2-40B4-BE49-F238E27FC236}">
              <a16:creationId xmlns:a16="http://schemas.microsoft.com/office/drawing/2014/main" id="{81BD2B68-5221-42FE-94BA-2C60284E4DF5}"/>
            </a:ext>
          </a:extLst>
        </xdr:cNvPr>
        <xdr:cNvSpPr/>
      </xdr:nvSpPr>
      <xdr:spPr>
        <a:xfrm>
          <a:off x="4122420" y="43434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175260</xdr:colOff>
      <xdr:row>2</xdr:row>
      <xdr:rowOff>68580</xdr:rowOff>
    </xdr:from>
    <xdr:to>
      <xdr:col>12</xdr:col>
      <xdr:colOff>518160</xdr:colOff>
      <xdr:row>5</xdr:row>
      <xdr:rowOff>167640</xdr:rowOff>
    </xdr:to>
    <xdr:sp macro="" textlink="">
      <xdr:nvSpPr>
        <xdr:cNvPr id="16" name="Rectangle: Rounded Corners 15">
          <a:extLst>
            <a:ext uri="{FF2B5EF4-FFF2-40B4-BE49-F238E27FC236}">
              <a16:creationId xmlns:a16="http://schemas.microsoft.com/office/drawing/2014/main" id="{178BDAAE-0E17-42BC-B91C-DD6E7B2B9DD3}"/>
            </a:ext>
          </a:extLst>
        </xdr:cNvPr>
        <xdr:cNvSpPr/>
      </xdr:nvSpPr>
      <xdr:spPr>
        <a:xfrm>
          <a:off x="6271260" y="43434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419100</xdr:colOff>
      <xdr:row>2</xdr:row>
      <xdr:rowOff>76200</xdr:rowOff>
    </xdr:from>
    <xdr:to>
      <xdr:col>16</xdr:col>
      <xdr:colOff>152400</xdr:colOff>
      <xdr:row>5</xdr:row>
      <xdr:rowOff>175260</xdr:rowOff>
    </xdr:to>
    <xdr:sp macro="" textlink="">
      <xdr:nvSpPr>
        <xdr:cNvPr id="17" name="Rectangle: Rounded Corners 16">
          <a:extLst>
            <a:ext uri="{FF2B5EF4-FFF2-40B4-BE49-F238E27FC236}">
              <a16:creationId xmlns:a16="http://schemas.microsoft.com/office/drawing/2014/main" id="{88BC51B7-5BDA-474C-A11B-9A0803B4EDE5}"/>
            </a:ext>
          </a:extLst>
        </xdr:cNvPr>
        <xdr:cNvSpPr/>
      </xdr:nvSpPr>
      <xdr:spPr>
        <a:xfrm>
          <a:off x="8343900" y="44196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45720</xdr:colOff>
      <xdr:row>2</xdr:row>
      <xdr:rowOff>83820</xdr:rowOff>
    </xdr:from>
    <xdr:to>
      <xdr:col>19</xdr:col>
      <xdr:colOff>388620</xdr:colOff>
      <xdr:row>6</xdr:row>
      <xdr:rowOff>0</xdr:rowOff>
    </xdr:to>
    <xdr:sp macro="" textlink="">
      <xdr:nvSpPr>
        <xdr:cNvPr id="18" name="Rectangle: Rounded Corners 17">
          <a:extLst>
            <a:ext uri="{FF2B5EF4-FFF2-40B4-BE49-F238E27FC236}">
              <a16:creationId xmlns:a16="http://schemas.microsoft.com/office/drawing/2014/main" id="{2868BA7C-ADC4-4AD3-BD45-A578695E2133}"/>
            </a:ext>
          </a:extLst>
        </xdr:cNvPr>
        <xdr:cNvSpPr/>
      </xdr:nvSpPr>
      <xdr:spPr>
        <a:xfrm>
          <a:off x="10408920" y="449580"/>
          <a:ext cx="1562100" cy="647700"/>
        </a:xfrm>
        <a:prstGeom prst="round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3</xdr:col>
      <xdr:colOff>548640</xdr:colOff>
      <xdr:row>2</xdr:row>
      <xdr:rowOff>38100</xdr:rowOff>
    </xdr:from>
    <xdr:ext cx="1120140" cy="198120"/>
    <xdr:sp macro="" textlink="KPIs!A3">
      <xdr:nvSpPr>
        <xdr:cNvPr id="19" name="TextBox 18">
          <a:extLst>
            <a:ext uri="{FF2B5EF4-FFF2-40B4-BE49-F238E27FC236}">
              <a16:creationId xmlns:a16="http://schemas.microsoft.com/office/drawing/2014/main" id="{59E1616F-83C6-48CE-B8B9-3B119EBBD308}"/>
            </a:ext>
          </a:extLst>
        </xdr:cNvPr>
        <xdr:cNvSpPr txBox="1"/>
      </xdr:nvSpPr>
      <xdr:spPr>
        <a:xfrm>
          <a:off x="2377440" y="40386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0470897F-16DF-4FF3-A19C-08E1AF5BBEC4}" type="TxLink">
            <a:rPr lang="en-US" sz="1100" b="0" i="0" u="none" strike="noStrike">
              <a:solidFill>
                <a:srgbClr val="000000"/>
              </a:solidFill>
              <a:latin typeface="Calibri"/>
              <a:ea typeface="Calibri"/>
              <a:cs typeface="Calibri"/>
            </a:rPr>
            <a:t>Gross Sales</a:t>
          </a:fld>
          <a:endParaRPr lang="en-IN" sz="1100"/>
        </a:p>
      </xdr:txBody>
    </xdr:sp>
    <xdr:clientData/>
  </xdr:oneCellAnchor>
  <xdr:oneCellAnchor>
    <xdr:from>
      <xdr:col>4</xdr:col>
      <xdr:colOff>129540</xdr:colOff>
      <xdr:row>4</xdr:row>
      <xdr:rowOff>121920</xdr:rowOff>
    </xdr:from>
    <xdr:ext cx="1120140" cy="198120"/>
    <xdr:sp macro="" textlink="KPIs!B3">
      <xdr:nvSpPr>
        <xdr:cNvPr id="20" name="TextBox 19">
          <a:extLst>
            <a:ext uri="{FF2B5EF4-FFF2-40B4-BE49-F238E27FC236}">
              <a16:creationId xmlns:a16="http://schemas.microsoft.com/office/drawing/2014/main" id="{35048B8A-C701-49C5-ACBE-CCF170506D70}"/>
            </a:ext>
          </a:extLst>
        </xdr:cNvPr>
        <xdr:cNvSpPr txBox="1"/>
      </xdr:nvSpPr>
      <xdr:spPr>
        <a:xfrm>
          <a:off x="2567940" y="85344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363B72-CE8D-413B-A896-0FA47B2F8F04}" type="TxLink">
            <a:rPr lang="en-US" sz="1100" b="0" i="0" u="none" strike="noStrike">
              <a:solidFill>
                <a:srgbClr val="000000"/>
              </a:solidFill>
              <a:latin typeface="Calibri"/>
              <a:ea typeface="Calibri"/>
              <a:cs typeface="Calibri"/>
            </a:rPr>
            <a:t>3060370</a:t>
          </a:fld>
          <a:endParaRPr lang="en-IN" sz="1100"/>
        </a:p>
      </xdr:txBody>
    </xdr:sp>
    <xdr:clientData/>
  </xdr:oneCellAnchor>
  <xdr:oneCellAnchor>
    <xdr:from>
      <xdr:col>7</xdr:col>
      <xdr:colOff>274320</xdr:colOff>
      <xdr:row>4</xdr:row>
      <xdr:rowOff>137160</xdr:rowOff>
    </xdr:from>
    <xdr:ext cx="1120140" cy="198120"/>
    <xdr:sp macro="" textlink="KPIs!B5">
      <xdr:nvSpPr>
        <xdr:cNvPr id="22" name="TextBox 21">
          <a:extLst>
            <a:ext uri="{FF2B5EF4-FFF2-40B4-BE49-F238E27FC236}">
              <a16:creationId xmlns:a16="http://schemas.microsoft.com/office/drawing/2014/main" id="{A0129857-4641-4641-9F8C-68464AA8B622}"/>
            </a:ext>
          </a:extLst>
        </xdr:cNvPr>
        <xdr:cNvSpPr txBox="1"/>
      </xdr:nvSpPr>
      <xdr:spPr>
        <a:xfrm>
          <a:off x="4541520" y="86868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3CE9138A-D526-4E57-A4EB-252AA89A6065}" type="TxLink">
            <a:rPr lang="en-US" sz="1100" b="0" i="0" u="none" strike="noStrike">
              <a:solidFill>
                <a:srgbClr val="000000"/>
              </a:solidFill>
              <a:latin typeface="Calibri"/>
              <a:ea typeface="Calibri"/>
              <a:cs typeface="Calibri"/>
            </a:rPr>
            <a:t>2763009.5</a:t>
          </a:fld>
          <a:endParaRPr lang="en-IN" sz="1100"/>
        </a:p>
      </xdr:txBody>
    </xdr:sp>
    <xdr:clientData/>
  </xdr:oneCellAnchor>
  <xdr:oneCellAnchor>
    <xdr:from>
      <xdr:col>11</xdr:col>
      <xdr:colOff>83820</xdr:colOff>
      <xdr:row>2</xdr:row>
      <xdr:rowOff>30480</xdr:rowOff>
    </xdr:from>
    <xdr:ext cx="1120140" cy="198120"/>
    <xdr:sp macro="" textlink="KPIs!A9">
      <xdr:nvSpPr>
        <xdr:cNvPr id="24" name="TextBox 23">
          <a:extLst>
            <a:ext uri="{FF2B5EF4-FFF2-40B4-BE49-F238E27FC236}">
              <a16:creationId xmlns:a16="http://schemas.microsoft.com/office/drawing/2014/main" id="{09C68011-72D4-453D-BB46-679002377BD6}"/>
            </a:ext>
          </a:extLst>
        </xdr:cNvPr>
        <xdr:cNvSpPr txBox="1"/>
      </xdr:nvSpPr>
      <xdr:spPr>
        <a:xfrm>
          <a:off x="6789420" y="39624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4D9D10DF-D032-4AFA-AAEC-E411338EE73E}" type="TxLink">
            <a:rPr lang="en-US" sz="1100" b="0" i="0" u="none" strike="noStrike">
              <a:solidFill>
                <a:srgbClr val="000000"/>
              </a:solidFill>
              <a:latin typeface="Calibri"/>
              <a:ea typeface="Calibri"/>
              <a:cs typeface="Calibri"/>
            </a:rPr>
            <a:t>Aov</a:t>
          </a:fld>
          <a:endParaRPr lang="en-IN" sz="1100"/>
        </a:p>
      </xdr:txBody>
    </xdr:sp>
    <xdr:clientData/>
  </xdr:oneCellAnchor>
  <xdr:oneCellAnchor>
    <xdr:from>
      <xdr:col>11</xdr:col>
      <xdr:colOff>83820</xdr:colOff>
      <xdr:row>4</xdr:row>
      <xdr:rowOff>152400</xdr:rowOff>
    </xdr:from>
    <xdr:ext cx="1120140" cy="198120"/>
    <xdr:sp macro="" textlink="KPIs!B9">
      <xdr:nvSpPr>
        <xdr:cNvPr id="25" name="TextBox 24">
          <a:extLst>
            <a:ext uri="{FF2B5EF4-FFF2-40B4-BE49-F238E27FC236}">
              <a16:creationId xmlns:a16="http://schemas.microsoft.com/office/drawing/2014/main" id="{2510BECD-912F-4EB4-B26D-E1EF5E871BEE}"/>
            </a:ext>
          </a:extLst>
        </xdr:cNvPr>
        <xdr:cNvSpPr txBox="1"/>
      </xdr:nvSpPr>
      <xdr:spPr>
        <a:xfrm>
          <a:off x="6789420" y="88392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9B3BF397-6BF7-48A7-AECC-A49927C32120}" type="TxLink">
            <a:rPr lang="en-US" sz="1100" b="0" i="0" u="none" strike="noStrike">
              <a:solidFill>
                <a:srgbClr val="000000"/>
              </a:solidFill>
              <a:latin typeface="Calibri"/>
              <a:ea typeface="Calibri"/>
              <a:cs typeface="Calibri"/>
            </a:rPr>
            <a:t>13815.05</a:t>
          </a:fld>
          <a:endParaRPr lang="en-IN" sz="1100"/>
        </a:p>
      </xdr:txBody>
    </xdr:sp>
    <xdr:clientData/>
  </xdr:oneCellAnchor>
  <xdr:oneCellAnchor>
    <xdr:from>
      <xdr:col>14</xdr:col>
      <xdr:colOff>83820</xdr:colOff>
      <xdr:row>2</xdr:row>
      <xdr:rowOff>45720</xdr:rowOff>
    </xdr:from>
    <xdr:ext cx="1120140" cy="198120"/>
    <xdr:sp macro="" textlink="KPIs!A10">
      <xdr:nvSpPr>
        <xdr:cNvPr id="26" name="TextBox 25">
          <a:extLst>
            <a:ext uri="{FF2B5EF4-FFF2-40B4-BE49-F238E27FC236}">
              <a16:creationId xmlns:a16="http://schemas.microsoft.com/office/drawing/2014/main" id="{AEE6416C-5445-4D5B-823D-8D8CEA6CA86D}"/>
            </a:ext>
          </a:extLst>
        </xdr:cNvPr>
        <xdr:cNvSpPr txBox="1"/>
      </xdr:nvSpPr>
      <xdr:spPr>
        <a:xfrm>
          <a:off x="8618220" y="41148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D474911-F1FA-4982-8B58-2D1D94DBD0EF}" type="TxLink">
            <a:rPr lang="en-US" sz="1100" b="0" i="0" u="none" strike="noStrike">
              <a:solidFill>
                <a:srgbClr val="000000"/>
              </a:solidFill>
              <a:latin typeface="Calibri"/>
              <a:ea typeface="Calibri"/>
              <a:cs typeface="Calibri"/>
            </a:rPr>
            <a:t>Total Discount</a:t>
          </a:fld>
          <a:endParaRPr lang="en-IN" sz="1100"/>
        </a:p>
      </xdr:txBody>
    </xdr:sp>
    <xdr:clientData/>
  </xdr:oneCellAnchor>
  <xdr:oneCellAnchor>
    <xdr:from>
      <xdr:col>14</xdr:col>
      <xdr:colOff>327660</xdr:colOff>
      <xdr:row>4</xdr:row>
      <xdr:rowOff>129540</xdr:rowOff>
    </xdr:from>
    <xdr:ext cx="1120140" cy="198120"/>
    <xdr:sp macro="" textlink="KPIs!B10">
      <xdr:nvSpPr>
        <xdr:cNvPr id="27" name="TextBox 26">
          <a:extLst>
            <a:ext uri="{FF2B5EF4-FFF2-40B4-BE49-F238E27FC236}">
              <a16:creationId xmlns:a16="http://schemas.microsoft.com/office/drawing/2014/main" id="{D13F0A57-457C-4739-B755-B38ACF4D5FA5}"/>
            </a:ext>
          </a:extLst>
        </xdr:cNvPr>
        <xdr:cNvSpPr txBox="1"/>
      </xdr:nvSpPr>
      <xdr:spPr>
        <a:xfrm>
          <a:off x="8862060" y="86106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A05ECE4-F64B-48D5-8ADC-A934E1397AE5}" type="TxLink">
            <a:rPr lang="en-US" sz="1100" b="0" i="0" u="none" strike="noStrike">
              <a:solidFill>
                <a:srgbClr val="000000"/>
              </a:solidFill>
              <a:latin typeface="Calibri"/>
              <a:ea typeface="Calibri"/>
              <a:cs typeface="Calibri"/>
            </a:rPr>
            <a:t>297360.5</a:t>
          </a:fld>
          <a:endParaRPr lang="en-IN" sz="1100"/>
        </a:p>
      </xdr:txBody>
    </xdr:sp>
    <xdr:clientData/>
  </xdr:oneCellAnchor>
  <xdr:oneCellAnchor>
    <xdr:from>
      <xdr:col>17</xdr:col>
      <xdr:colOff>198120</xdr:colOff>
      <xdr:row>2</xdr:row>
      <xdr:rowOff>38100</xdr:rowOff>
    </xdr:from>
    <xdr:ext cx="1280160" cy="220980"/>
    <xdr:sp macro="" textlink="KPIs!A11">
      <xdr:nvSpPr>
        <xdr:cNvPr id="28" name="TextBox 27">
          <a:extLst>
            <a:ext uri="{FF2B5EF4-FFF2-40B4-BE49-F238E27FC236}">
              <a16:creationId xmlns:a16="http://schemas.microsoft.com/office/drawing/2014/main" id="{78C164BE-7291-4802-8CB2-2E106BA51B37}"/>
            </a:ext>
          </a:extLst>
        </xdr:cNvPr>
        <xdr:cNvSpPr txBox="1"/>
      </xdr:nvSpPr>
      <xdr:spPr>
        <a:xfrm>
          <a:off x="10561320" y="403860"/>
          <a:ext cx="1280160" cy="22098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1320200-D413-4DBD-A36C-8F3AEDB2974A}" type="TxLink">
            <a:rPr lang="en-US" sz="1100" b="0" i="0" u="none" strike="noStrike">
              <a:solidFill>
                <a:srgbClr val="000000"/>
              </a:solidFill>
              <a:latin typeface="Calibri"/>
              <a:ea typeface="Calibri"/>
              <a:cs typeface="Calibri"/>
            </a:rPr>
            <a:t>Unique Customers</a:t>
          </a:fld>
          <a:endParaRPr lang="en-IN" sz="1100"/>
        </a:p>
      </xdr:txBody>
    </xdr:sp>
    <xdr:clientData/>
  </xdr:oneCellAnchor>
  <xdr:oneCellAnchor>
    <xdr:from>
      <xdr:col>18</xdr:col>
      <xdr:colOff>76200</xdr:colOff>
      <xdr:row>4</xdr:row>
      <xdr:rowOff>144780</xdr:rowOff>
    </xdr:from>
    <xdr:ext cx="1120140" cy="198120"/>
    <xdr:sp macro="" textlink="KPIs!B11">
      <xdr:nvSpPr>
        <xdr:cNvPr id="29" name="TextBox 28">
          <a:extLst>
            <a:ext uri="{FF2B5EF4-FFF2-40B4-BE49-F238E27FC236}">
              <a16:creationId xmlns:a16="http://schemas.microsoft.com/office/drawing/2014/main" id="{C95C6FD6-9524-468C-BAE4-C37C527290FE}"/>
            </a:ext>
          </a:extLst>
        </xdr:cNvPr>
        <xdr:cNvSpPr txBox="1"/>
      </xdr:nvSpPr>
      <xdr:spPr>
        <a:xfrm>
          <a:off x="11049000" y="87630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C065B1D8-FE19-425C-9A82-EFA24A97A7E3}" type="TxLink">
            <a:rPr lang="en-US" sz="1100" b="0" i="0" u="none" strike="noStrike">
              <a:solidFill>
                <a:srgbClr val="000000"/>
              </a:solidFill>
              <a:latin typeface="Calibri"/>
              <a:ea typeface="Calibri"/>
              <a:cs typeface="Calibri"/>
            </a:rPr>
            <a:t>109</a:t>
          </a:fld>
          <a:endParaRPr lang="en-IN" sz="1100"/>
        </a:p>
      </xdr:txBody>
    </xdr:sp>
    <xdr:clientData/>
  </xdr:oneCellAnchor>
  <xdr:oneCellAnchor>
    <xdr:from>
      <xdr:col>7</xdr:col>
      <xdr:colOff>167640</xdr:colOff>
      <xdr:row>2</xdr:row>
      <xdr:rowOff>38100</xdr:rowOff>
    </xdr:from>
    <xdr:ext cx="1120140" cy="198120"/>
    <xdr:sp macro="" textlink="KPIs!A5">
      <xdr:nvSpPr>
        <xdr:cNvPr id="30" name="TextBox 29">
          <a:extLst>
            <a:ext uri="{FF2B5EF4-FFF2-40B4-BE49-F238E27FC236}">
              <a16:creationId xmlns:a16="http://schemas.microsoft.com/office/drawing/2014/main" id="{5EAF087B-0B03-4B76-9B7C-B1E151BB81B1}"/>
            </a:ext>
          </a:extLst>
        </xdr:cNvPr>
        <xdr:cNvSpPr txBox="1"/>
      </xdr:nvSpPr>
      <xdr:spPr>
        <a:xfrm>
          <a:off x="4434840" y="403860"/>
          <a:ext cx="1120140" cy="19812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92D1D35-63D3-4C6C-9962-80DB7FD926F9}" type="TxLink">
            <a:rPr lang="en-US" sz="1100" b="0" i="0" u="none" strike="noStrike">
              <a:solidFill>
                <a:srgbClr val="000000"/>
              </a:solidFill>
              <a:latin typeface="Calibri"/>
              <a:ea typeface="Calibri"/>
              <a:cs typeface="Calibri"/>
            </a:rPr>
            <a:t>Net Sales</a:t>
          </a:fld>
          <a:endParaRPr lang="en-IN" sz="1100"/>
        </a:p>
      </xdr:txBody>
    </xdr:sp>
    <xdr:clientData/>
  </xdr:oneCellAnchor>
  <xdr:twoCellAnchor>
    <xdr:from>
      <xdr:col>6</xdr:col>
      <xdr:colOff>381000</xdr:colOff>
      <xdr:row>20</xdr:row>
      <xdr:rowOff>60960</xdr:rowOff>
    </xdr:from>
    <xdr:to>
      <xdr:col>13</xdr:col>
      <xdr:colOff>205740</xdr:colOff>
      <xdr:row>31</xdr:row>
      <xdr:rowOff>60960</xdr:rowOff>
    </xdr:to>
    <xdr:graphicFrame macro="">
      <xdr:nvGraphicFramePr>
        <xdr:cNvPr id="31" name="Chart 30">
          <a:extLst>
            <a:ext uri="{FF2B5EF4-FFF2-40B4-BE49-F238E27FC236}">
              <a16:creationId xmlns:a16="http://schemas.microsoft.com/office/drawing/2014/main" id="{2E144112-D7FD-44F1-B987-747E792FC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571500</xdr:colOff>
      <xdr:row>3</xdr:row>
      <xdr:rowOff>91441</xdr:rowOff>
    </xdr:from>
    <xdr:to>
      <xdr:col>1</xdr:col>
      <xdr:colOff>480060</xdr:colOff>
      <xdr:row>4</xdr:row>
      <xdr:rowOff>137160</xdr:rowOff>
    </xdr:to>
    <xdr:pic>
      <xdr:nvPicPr>
        <xdr:cNvPr id="34" name="Picture 33">
          <a:extLst>
            <a:ext uri="{FF2B5EF4-FFF2-40B4-BE49-F238E27FC236}">
              <a16:creationId xmlns:a16="http://schemas.microsoft.com/office/drawing/2014/main" id="{1D2DB4F0-304C-3564-5CC1-331A2EBB783C}"/>
            </a:ext>
          </a:extLst>
        </xdr:cNvPr>
        <xdr:cNvPicPr>
          <a:picLocks noChangeAspect="1"/>
        </xdr:cNvPicPr>
      </xdr:nvPicPr>
      <xdr:blipFill>
        <a:blip xmlns:r="http://schemas.openxmlformats.org/officeDocument/2006/relationships" r:embed="rId6"/>
        <a:stretch>
          <a:fillRect/>
        </a:stretch>
      </xdr:blipFill>
      <xdr:spPr>
        <a:xfrm>
          <a:off x="571500" y="640081"/>
          <a:ext cx="518160" cy="228599"/>
        </a:xfrm>
        <a:prstGeom prst="rect">
          <a:avLst/>
        </a:prstGeom>
      </xdr:spPr>
    </xdr:pic>
    <xdr:clientData/>
  </xdr:twoCellAnchor>
  <xdr:twoCellAnchor editAs="oneCell">
    <xdr:from>
      <xdr:col>4</xdr:col>
      <xdr:colOff>7620</xdr:colOff>
      <xdr:row>2</xdr:row>
      <xdr:rowOff>167640</xdr:rowOff>
    </xdr:from>
    <xdr:to>
      <xdr:col>5</xdr:col>
      <xdr:colOff>312420</xdr:colOff>
      <xdr:row>5</xdr:row>
      <xdr:rowOff>7620</xdr:rowOff>
    </xdr:to>
    <xdr:pic>
      <xdr:nvPicPr>
        <xdr:cNvPr id="38" name="Graphic 37" descr="Money outline">
          <a:extLst>
            <a:ext uri="{FF2B5EF4-FFF2-40B4-BE49-F238E27FC236}">
              <a16:creationId xmlns:a16="http://schemas.microsoft.com/office/drawing/2014/main" id="{D34D78B5-C0C7-086B-46AE-E411669F379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2446020" y="533400"/>
          <a:ext cx="914400" cy="388620"/>
        </a:xfrm>
        <a:prstGeom prst="rect">
          <a:avLst/>
        </a:prstGeom>
      </xdr:spPr>
    </xdr:pic>
    <xdr:clientData/>
  </xdr:twoCellAnchor>
  <xdr:twoCellAnchor editAs="oneCell">
    <xdr:from>
      <xdr:col>10</xdr:col>
      <xdr:colOff>533400</xdr:colOff>
      <xdr:row>3</xdr:row>
      <xdr:rowOff>7620</xdr:rowOff>
    </xdr:from>
    <xdr:to>
      <xdr:col>12</xdr:col>
      <xdr:colOff>160020</xdr:colOff>
      <xdr:row>5</xdr:row>
      <xdr:rowOff>15240</xdr:rowOff>
    </xdr:to>
    <xdr:pic>
      <xdr:nvPicPr>
        <xdr:cNvPr id="42" name="Graphic 41" descr="Exponential Graph with solid fill">
          <a:extLst>
            <a:ext uri="{FF2B5EF4-FFF2-40B4-BE49-F238E27FC236}">
              <a16:creationId xmlns:a16="http://schemas.microsoft.com/office/drawing/2014/main" id="{29E9861A-B2A0-C208-ACF4-443B55D2FC7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29400" y="556260"/>
          <a:ext cx="845820" cy="373380"/>
        </a:xfrm>
        <a:prstGeom prst="rect">
          <a:avLst/>
        </a:prstGeom>
      </xdr:spPr>
    </xdr:pic>
    <xdr:clientData/>
  </xdr:twoCellAnchor>
  <xdr:twoCellAnchor editAs="oneCell">
    <xdr:from>
      <xdr:col>14</xdr:col>
      <xdr:colOff>152400</xdr:colOff>
      <xdr:row>3</xdr:row>
      <xdr:rowOff>53340</xdr:rowOff>
    </xdr:from>
    <xdr:to>
      <xdr:col>15</xdr:col>
      <xdr:colOff>457200</xdr:colOff>
      <xdr:row>5</xdr:row>
      <xdr:rowOff>30480</xdr:rowOff>
    </xdr:to>
    <xdr:pic>
      <xdr:nvPicPr>
        <xdr:cNvPr id="44" name="Graphic 43" descr="Tag with solid fill">
          <a:extLst>
            <a:ext uri="{FF2B5EF4-FFF2-40B4-BE49-F238E27FC236}">
              <a16:creationId xmlns:a16="http://schemas.microsoft.com/office/drawing/2014/main" id="{6A88B80B-9749-9C21-5D78-CD94908B23F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686800" y="601980"/>
          <a:ext cx="914400" cy="342900"/>
        </a:xfrm>
        <a:prstGeom prst="rect">
          <a:avLst/>
        </a:prstGeom>
      </xdr:spPr>
    </xdr:pic>
    <xdr:clientData/>
  </xdr:twoCellAnchor>
  <xdr:twoCellAnchor editAs="oneCell">
    <xdr:from>
      <xdr:col>7</xdr:col>
      <xdr:colOff>144780</xdr:colOff>
      <xdr:row>3</xdr:row>
      <xdr:rowOff>0</xdr:rowOff>
    </xdr:from>
    <xdr:to>
      <xdr:col>8</xdr:col>
      <xdr:colOff>449580</xdr:colOff>
      <xdr:row>5</xdr:row>
      <xdr:rowOff>76200</xdr:rowOff>
    </xdr:to>
    <xdr:pic>
      <xdr:nvPicPr>
        <xdr:cNvPr id="46" name="Graphic 45" descr="Money with solid fill">
          <a:extLst>
            <a:ext uri="{FF2B5EF4-FFF2-40B4-BE49-F238E27FC236}">
              <a16:creationId xmlns:a16="http://schemas.microsoft.com/office/drawing/2014/main" id="{E7A0E136-D4A8-70F9-57F4-89D1DED433F8}"/>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411980" y="548640"/>
          <a:ext cx="914400" cy="441960"/>
        </a:xfrm>
        <a:prstGeom prst="rect">
          <a:avLst/>
        </a:prstGeom>
      </xdr:spPr>
    </xdr:pic>
    <xdr:clientData/>
  </xdr:twoCellAnchor>
  <xdr:twoCellAnchor editAs="oneCell">
    <xdr:from>
      <xdr:col>17</xdr:col>
      <xdr:colOff>419100</xdr:colOff>
      <xdr:row>3</xdr:row>
      <xdr:rowOff>68580</xdr:rowOff>
    </xdr:from>
    <xdr:to>
      <xdr:col>19</xdr:col>
      <xdr:colOff>114300</xdr:colOff>
      <xdr:row>5</xdr:row>
      <xdr:rowOff>15240</xdr:rowOff>
    </xdr:to>
    <xdr:pic>
      <xdr:nvPicPr>
        <xdr:cNvPr id="48" name="Graphic 47" descr="Group of men with solid fill">
          <a:extLst>
            <a:ext uri="{FF2B5EF4-FFF2-40B4-BE49-F238E27FC236}">
              <a16:creationId xmlns:a16="http://schemas.microsoft.com/office/drawing/2014/main" id="{0D30F922-C295-C6AE-96BF-706A3D0F026F}"/>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782300" y="617220"/>
          <a:ext cx="914400" cy="31242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shant Bhardwaj" refreshedDate="46299.645557407406" createdVersion="8" refreshedVersion="8" minRefreshableVersion="3" recordCount="200" xr:uid="{E15069DF-4FDD-41AF-AC0E-B5288C000F44}">
  <cacheSource type="worksheet">
    <worksheetSource name="Table1"/>
  </cacheSource>
  <cacheFields count="18">
    <cacheField name="Order_ID" numFmtId="0">
      <sharedItems/>
    </cacheField>
    <cacheField name="Order_Date" numFmtId="164">
      <sharedItems containsSemiMixedTypes="0" containsNonDate="0" containsDate="1" containsString="0" minDate="2026-01-03T00:00:00" maxDate="2026-09-27T00:00:00" count="142">
        <d v="2026-02-27T00:00:00"/>
        <d v="2026-08-05T00:00:00"/>
        <d v="2026-08-03T00:00:00"/>
        <d v="2026-04-21T00:00:00"/>
        <d v="2026-01-23T00:00:00"/>
        <d v="2026-04-09T00:00:00"/>
        <d v="2026-08-21T00:00:00"/>
        <d v="2026-03-29T00:00:00"/>
        <d v="2026-06-16T00:00:00"/>
        <d v="2026-06-11T00:00:00"/>
        <d v="2026-05-15T00:00:00"/>
        <d v="2026-01-25T00:00:00"/>
        <d v="2026-08-28T00:00:00"/>
        <d v="2026-05-31T00:00:00"/>
        <d v="2026-06-02T00:00:00"/>
        <d v="2026-06-15T00:00:00"/>
        <d v="2026-02-13T00:00:00"/>
        <d v="2026-05-07T00:00:00"/>
        <d v="2026-01-31T00:00:00"/>
        <d v="2026-03-09T00:00:00"/>
        <d v="2026-08-09T00:00:00"/>
        <d v="2026-05-08T00:00:00"/>
        <d v="2026-02-08T00:00:00"/>
        <d v="2026-09-04T00:00:00"/>
        <d v="2026-02-01T00:00:00"/>
        <d v="2026-02-11T00:00:00"/>
        <d v="2026-01-21T00:00:00"/>
        <d v="2026-02-21T00:00:00"/>
        <d v="2026-03-22T00:00:00"/>
        <d v="2026-03-21T00:00:00"/>
        <d v="2026-01-27T00:00:00"/>
        <d v="2026-08-15T00:00:00"/>
        <d v="2026-03-17T00:00:00"/>
        <d v="2026-02-22T00:00:00"/>
        <d v="2026-06-20T00:00:00"/>
        <d v="2026-04-24T00:00:00"/>
        <d v="2026-06-18T00:00:00"/>
        <d v="2026-04-02T00:00:00"/>
        <d v="2026-03-01T00:00:00"/>
        <d v="2026-04-11T00:00:00"/>
        <d v="2026-07-29T00:00:00"/>
        <d v="2026-03-31T00:00:00"/>
        <d v="2026-06-14T00:00:00"/>
        <d v="2026-06-21T00:00:00"/>
        <d v="2026-09-01T00:00:00"/>
        <d v="2026-01-03T00:00:00"/>
        <d v="2026-03-04T00:00:00"/>
        <d v="2026-03-23T00:00:00"/>
        <d v="2026-08-14T00:00:00"/>
        <d v="2026-03-19T00:00:00"/>
        <d v="2026-08-27T00:00:00"/>
        <d v="2026-01-04T00:00:00"/>
        <d v="2026-01-15T00:00:00"/>
        <d v="2026-07-21T00:00:00"/>
        <d v="2026-07-14T00:00:00"/>
        <d v="2026-08-29T00:00:00"/>
        <d v="2026-04-22T00:00:00"/>
        <d v="2026-06-09T00:00:00"/>
        <d v="2026-05-05T00:00:00"/>
        <d v="2026-09-17T00:00:00"/>
        <d v="2026-03-20T00:00:00"/>
        <d v="2026-05-24T00:00:00"/>
        <d v="2026-05-04T00:00:00"/>
        <d v="2026-06-19T00:00:00"/>
        <d v="2026-03-03T00:00:00"/>
        <d v="2026-05-25T00:00:00"/>
        <d v="2026-05-21T00:00:00"/>
        <d v="2026-09-09T00:00:00"/>
        <d v="2026-08-02T00:00:00"/>
        <d v="2026-06-06T00:00:00"/>
        <d v="2026-05-03T00:00:00"/>
        <d v="2026-05-30T00:00:00"/>
        <d v="2026-04-12T00:00:00"/>
        <d v="2026-06-07T00:00:00"/>
        <d v="2026-07-26T00:00:00"/>
        <d v="2026-07-25T00:00:00"/>
        <d v="2026-09-21T00:00:00"/>
        <d v="2026-09-13T00:00:00"/>
        <d v="2026-09-06T00:00:00"/>
        <d v="2026-02-17T00:00:00"/>
        <d v="2026-09-05T00:00:00"/>
        <d v="2026-05-22T00:00:00"/>
        <d v="2026-09-08T00:00:00"/>
        <d v="2026-08-31T00:00:00"/>
        <d v="2026-09-07T00:00:00"/>
        <d v="2026-02-20T00:00:00"/>
        <d v="2026-05-11T00:00:00"/>
        <d v="2026-06-26T00:00:00"/>
        <d v="2026-02-24T00:00:00"/>
        <d v="2026-01-05T00:00:00"/>
        <d v="2026-04-08T00:00:00"/>
        <d v="2026-07-06T00:00:00"/>
        <d v="2026-07-07T00:00:00"/>
        <d v="2026-03-05T00:00:00"/>
        <d v="2026-01-13T00:00:00"/>
        <d v="2026-03-13T00:00:00"/>
        <d v="2026-07-08T00:00:00"/>
        <d v="2026-04-19T00:00:00"/>
        <d v="2026-02-05T00:00:00"/>
        <d v="2026-03-16T00:00:00"/>
        <d v="2026-08-18T00:00:00"/>
        <d v="2026-09-24T00:00:00"/>
        <d v="2026-08-16T00:00:00"/>
        <d v="2026-02-28T00:00:00"/>
        <d v="2026-07-24T00:00:00"/>
        <d v="2026-02-23T00:00:00"/>
        <d v="2026-05-17T00:00:00"/>
        <d v="2026-06-24T00:00:00"/>
        <d v="2026-09-20T00:00:00"/>
        <d v="2026-04-23T00:00:00"/>
        <d v="2026-06-17T00:00:00"/>
        <d v="2026-07-01T00:00:00"/>
        <d v="2026-08-08T00:00:00"/>
        <d v="2026-08-24T00:00:00"/>
        <d v="2026-09-26T00:00:00"/>
        <d v="2026-01-29T00:00:00"/>
        <d v="2026-02-09T00:00:00"/>
        <d v="2026-04-07T00:00:00"/>
        <d v="2026-03-30T00:00:00"/>
        <d v="2026-07-10T00:00:00"/>
        <d v="2026-03-14T00:00:00"/>
        <d v="2026-04-03T00:00:00"/>
        <d v="2026-03-25T00:00:00"/>
        <d v="2026-05-26T00:00:00"/>
        <d v="2026-09-15T00:00:00"/>
        <d v="2026-02-02T00:00:00"/>
        <d v="2026-06-30T00:00:00"/>
        <d v="2026-05-10T00:00:00"/>
        <d v="2026-08-23T00:00:00"/>
        <d v="2026-09-12T00:00:00"/>
        <d v="2026-05-01T00:00:00"/>
        <d v="2026-08-19T00:00:00"/>
        <d v="2026-05-23T00:00:00"/>
        <d v="2026-05-14T00:00:00"/>
        <d v="2026-06-03T00:00:00"/>
        <d v="2026-05-02T00:00:00"/>
        <d v="2026-02-03T00:00:00"/>
        <d v="2026-02-07T00:00:00"/>
        <d v="2026-09-23T00:00:00"/>
        <d v="2026-05-29T00:00:00"/>
        <d v="2026-06-10T00:00:00"/>
        <d v="2026-09-16T00:00:00"/>
      </sharedItems>
      <fieldGroup par="17"/>
    </cacheField>
    <cacheField name="Customer_Name" numFmtId="0">
      <sharedItems containsBlank="1"/>
    </cacheField>
    <cacheField name="Customer_Segment" numFmtId="0">
      <sharedItems count="3">
        <s v="Small Business"/>
        <s v="Consumer"/>
        <s v="Corporate"/>
      </sharedItems>
    </cacheField>
    <cacheField name="City" numFmtId="0">
      <sharedItems/>
    </cacheField>
    <cacheField name="Region" numFmtId="0">
      <sharedItems count="4">
        <s v="North"/>
        <s v="West"/>
        <s v="East"/>
        <s v="South"/>
      </sharedItems>
    </cacheField>
    <cacheField name="Category" numFmtId="0">
      <sharedItems count="3">
        <s v="Furniture"/>
        <s v="Electronics"/>
        <s v="Office Supplies"/>
      </sharedItems>
    </cacheField>
    <cacheField name="Product" numFmtId="0">
      <sharedItems count="17">
        <s v="Bookshelf"/>
        <s v="Keyboard"/>
        <s v="Printer Paper"/>
        <s v="Notebook"/>
        <s v="Pen Set"/>
        <s v="Study Table"/>
        <s v="Mouse"/>
        <s v="Filing Cabinet"/>
        <s v="Monitor"/>
        <s v="Desk Lamp"/>
        <s v="Headphones"/>
        <s v="Stapler"/>
        <s v="Laptop Stand"/>
        <s v="Office Chair"/>
        <s v="Desk Organizer"/>
        <s v="File Folder"/>
        <s v="Webcam"/>
      </sharedItems>
    </cacheField>
    <cacheField name="Quantity" numFmtId="0">
      <sharedItems containsSemiMixedTypes="0" containsString="0" containsNumber="1" containsInteger="1" minValue="1" maxValue="8"/>
    </cacheField>
    <cacheField name="Unit_Price" numFmtId="0">
      <sharedItems containsSemiMixedTypes="0" containsString="0" containsNumber="1" containsInteger="1" minValue="90" maxValue="12500"/>
    </cacheField>
    <cacheField name="Discount_Pct" numFmtId="0">
      <sharedItems containsSemiMixedTypes="0" containsString="0" containsNumber="1" containsInteger="1" minValue="0" maxValue="20"/>
    </cacheField>
    <cacheField name="Payment_Mode" numFmtId="0">
      <sharedItems count="6">
        <s v="Net Banking"/>
        <s v="Debit Card"/>
        <s v="Cash"/>
        <s v="UPI"/>
        <s v="Credit Card"/>
        <s v="UPI "/>
      </sharedItems>
    </cacheField>
    <cacheField name="Salesperson" numFmtId="0">
      <sharedItems containsBlank="1" count="7">
        <s v="Amit"/>
        <s v="Riya"/>
        <s v="Vikas"/>
        <s v="Karan"/>
        <s v="Pooja"/>
        <s v="Neha"/>
        <m/>
      </sharedItems>
    </cacheField>
    <cacheField name="Gross Sales" numFmtId="0">
      <sharedItems containsSemiMixedTypes="0" containsString="0" containsNumber="1" containsInteger="1" minValue="120" maxValue="100000"/>
    </cacheField>
    <cacheField name="Discount Amt" numFmtId="0">
      <sharedItems containsSemiMixedTypes="0" containsString="0" containsNumber="1" minValue="0" maxValue="20000"/>
    </cacheField>
    <cacheField name="Net Sales" numFmtId="0">
      <sharedItems containsSemiMixedTypes="0" containsString="0" containsNumber="1" minValue="96" maxValue="90000"/>
    </cacheField>
    <cacheField name="Days (Order_Date)" numFmtId="0" databaseField="0">
      <fieldGroup base="1">
        <rangePr groupBy="days" startDate="2026-01-03T00:00:00" endDate="2026-09-27T00:00:00"/>
        <groupItems count="368">
          <s v="&lt;03-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7-09-2026"/>
        </groupItems>
      </fieldGroup>
    </cacheField>
    <cacheField name="Months (Order_Date)" numFmtId="0" databaseField="0">
      <fieldGroup base="1">
        <rangePr groupBy="months" startDate="2026-01-03T00:00:00" endDate="2026-09-27T00:00:00"/>
        <groupItems count="14">
          <s v="&lt;03-01-2026"/>
          <s v="Jan"/>
          <s v="Feb"/>
          <s v="Mar"/>
          <s v="Apr"/>
          <s v="May"/>
          <s v="Jun"/>
          <s v="Jul"/>
          <s v="Aug"/>
          <s v="Sep"/>
          <s v="Oct"/>
          <s v="Nov"/>
          <s v="Dec"/>
          <s v="&gt;27-09-2026"/>
        </groupItems>
      </fieldGroup>
    </cacheField>
  </cacheFields>
  <extLst>
    <ext xmlns:x14="http://schemas.microsoft.com/office/spreadsheetml/2009/9/main" uri="{725AE2AE-9491-48be-B2B4-4EB974FC3084}">
      <x14:pivotCacheDefinition pivotCacheId="2029017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ORD10002"/>
    <x v="0"/>
    <s v="Rahul Verma"/>
    <x v="0"/>
    <s v="Delhi"/>
    <x v="0"/>
    <x v="0"/>
    <x v="0"/>
    <n v="4"/>
    <n v="6500"/>
    <n v="5"/>
    <x v="0"/>
    <x v="0"/>
    <n v="26000"/>
    <n v="1300"/>
    <n v="24700"/>
  </r>
  <r>
    <s v="ORD10003"/>
    <x v="1"/>
    <s v="Riya Mishra"/>
    <x v="1"/>
    <s v="Delhi"/>
    <x v="0"/>
    <x v="1"/>
    <x v="1"/>
    <n v="4"/>
    <n v="700"/>
    <n v="5"/>
    <x v="0"/>
    <x v="1"/>
    <n v="2800"/>
    <n v="140"/>
    <n v="2660"/>
  </r>
  <r>
    <s v="ORD10004"/>
    <x v="2"/>
    <s v="Rohit Kumar"/>
    <x v="2"/>
    <s v="Jaipur"/>
    <x v="1"/>
    <x v="2"/>
    <x v="2"/>
    <n v="5"/>
    <n v="420"/>
    <n v="0"/>
    <x v="1"/>
    <x v="1"/>
    <n v="2100"/>
    <n v="0"/>
    <n v="2100"/>
  </r>
  <r>
    <s v="ORD10005"/>
    <x v="3"/>
    <s v="Arjun Yadav"/>
    <x v="2"/>
    <s v="Kolkata"/>
    <x v="2"/>
    <x v="2"/>
    <x v="3"/>
    <n v="2"/>
    <n v="120"/>
    <n v="15"/>
    <x v="0"/>
    <x v="2"/>
    <n v="240"/>
    <n v="36"/>
    <n v="204"/>
  </r>
  <r>
    <s v="ORD10006"/>
    <x v="4"/>
    <s v="Aditya Agarwal"/>
    <x v="2"/>
    <s v="Chennai"/>
    <x v="3"/>
    <x v="2"/>
    <x v="2"/>
    <n v="2"/>
    <n v="420"/>
    <n v="15"/>
    <x v="0"/>
    <x v="2"/>
    <n v="840"/>
    <n v="126"/>
    <n v="714"/>
  </r>
  <r>
    <s v="ORD10007"/>
    <x v="5"/>
    <s v="Aditya Bhardwaj"/>
    <x v="1"/>
    <s v="Chennai"/>
    <x v="3"/>
    <x v="1"/>
    <x v="1"/>
    <n v="4"/>
    <n v="700"/>
    <n v="10"/>
    <x v="2"/>
    <x v="2"/>
    <n v="2800"/>
    <n v="280"/>
    <n v="2520"/>
  </r>
  <r>
    <s v="ORD10008"/>
    <x v="6"/>
    <s v="Karan Singh"/>
    <x v="0"/>
    <s v="Hyderabad"/>
    <x v="3"/>
    <x v="2"/>
    <x v="4"/>
    <n v="6"/>
    <n v="180"/>
    <n v="10"/>
    <x v="3"/>
    <x v="3"/>
    <n v="1080"/>
    <n v="108"/>
    <n v="972"/>
  </r>
  <r>
    <s v="ORD10009"/>
    <x v="7"/>
    <s v="Neha Singh"/>
    <x v="0"/>
    <s v="Ahmedabad"/>
    <x v="1"/>
    <x v="0"/>
    <x v="5"/>
    <n v="3"/>
    <n v="9000"/>
    <n v="20"/>
    <x v="0"/>
    <x v="1"/>
    <n v="27000"/>
    <n v="5400"/>
    <n v="21600"/>
  </r>
  <r>
    <s v="ORD10010"/>
    <x v="8"/>
    <s v="Neha Singh"/>
    <x v="1"/>
    <s v="Bhubaneswar"/>
    <x v="2"/>
    <x v="1"/>
    <x v="6"/>
    <n v="1"/>
    <n v="450"/>
    <n v="10"/>
    <x v="4"/>
    <x v="3"/>
    <n v="450"/>
    <n v="45"/>
    <n v="405"/>
  </r>
  <r>
    <s v="ORD10011"/>
    <x v="9"/>
    <s v="Rahul Singh"/>
    <x v="1"/>
    <s v="Jaipur"/>
    <x v="1"/>
    <x v="0"/>
    <x v="7"/>
    <n v="7"/>
    <n v="8200"/>
    <n v="20"/>
    <x v="4"/>
    <x v="4"/>
    <n v="57400"/>
    <n v="11480"/>
    <n v="45920"/>
  </r>
  <r>
    <s v="ORD10012"/>
    <x v="10"/>
    <s v="Nishant Gupta"/>
    <x v="0"/>
    <s v="Chennai"/>
    <x v="3"/>
    <x v="0"/>
    <x v="7"/>
    <n v="7"/>
    <n v="8200"/>
    <n v="10"/>
    <x v="2"/>
    <x v="0"/>
    <n v="57400"/>
    <n v="5740"/>
    <n v="51660"/>
  </r>
  <r>
    <s v="ORD10013"/>
    <x v="11"/>
    <s v="Meera Verma"/>
    <x v="2"/>
    <s v="Bhubaneswar"/>
    <x v="2"/>
    <x v="1"/>
    <x v="6"/>
    <n v="3"/>
    <n v="450"/>
    <n v="15"/>
    <x v="2"/>
    <x v="3"/>
    <n v="1350"/>
    <n v="202.5"/>
    <n v="1147.5"/>
  </r>
  <r>
    <s v="ORD10014"/>
    <x v="12"/>
    <s v="Simran Singh"/>
    <x v="0"/>
    <s v="Ahmedabad"/>
    <x v="1"/>
    <x v="2"/>
    <x v="2"/>
    <n v="1"/>
    <n v="420"/>
    <n v="0"/>
    <x v="1"/>
    <x v="0"/>
    <n v="420"/>
    <n v="0"/>
    <n v="420"/>
  </r>
  <r>
    <s v="ORD10015"/>
    <x v="13"/>
    <s v="Riya Gupta"/>
    <x v="0"/>
    <s v="Mumbai"/>
    <x v="1"/>
    <x v="1"/>
    <x v="8"/>
    <n v="1"/>
    <n v="12500"/>
    <n v="10"/>
    <x v="3"/>
    <x v="4"/>
    <n v="12500"/>
    <n v="1250"/>
    <n v="11250"/>
  </r>
  <r>
    <s v="ORD10016"/>
    <x v="14"/>
    <s v="Ananya Gupta"/>
    <x v="0"/>
    <s v="Bhubaneswar"/>
    <x v="2"/>
    <x v="0"/>
    <x v="9"/>
    <n v="4"/>
    <n v="1600"/>
    <n v="5"/>
    <x v="0"/>
    <x v="0"/>
    <n v="6400"/>
    <n v="320"/>
    <n v="6080"/>
  </r>
  <r>
    <s v="ORD10017"/>
    <x v="15"/>
    <s v="Nishant Sharma"/>
    <x v="1"/>
    <s v="Pune"/>
    <x v="1"/>
    <x v="1"/>
    <x v="1"/>
    <n v="6"/>
    <n v="700"/>
    <n v="10"/>
    <x v="0"/>
    <x v="0"/>
    <n v="4200"/>
    <n v="420"/>
    <n v="3780"/>
  </r>
  <r>
    <s v="ORD10018"/>
    <x v="16"/>
    <s v="Kavya Agarwal"/>
    <x v="1"/>
    <s v="Chennai"/>
    <x v="3"/>
    <x v="2"/>
    <x v="3"/>
    <n v="3"/>
    <n v="120"/>
    <n v="5"/>
    <x v="1"/>
    <x v="3"/>
    <n v="360"/>
    <n v="18"/>
    <n v="342"/>
  </r>
  <r>
    <s v="ORD10019"/>
    <x v="1"/>
    <s v="  Ananya Jain  "/>
    <x v="0"/>
    <s v="Jaipur"/>
    <x v="1"/>
    <x v="0"/>
    <x v="5"/>
    <n v="5"/>
    <n v="9000"/>
    <n v="15"/>
    <x v="2"/>
    <x v="0"/>
    <n v="45000"/>
    <n v="6750"/>
    <n v="38250"/>
  </r>
  <r>
    <s v="ORD10020"/>
    <x v="17"/>
    <s v="Isha Bhardwaj"/>
    <x v="1"/>
    <s v="Jaipur"/>
    <x v="1"/>
    <x v="1"/>
    <x v="10"/>
    <n v="1"/>
    <n v="1200"/>
    <n v="5"/>
    <x v="3"/>
    <x v="4"/>
    <n v="1200"/>
    <n v="60"/>
    <n v="1140"/>
  </r>
  <r>
    <s v="ORD10021"/>
    <x v="18"/>
    <s v="Riya Bhardwaj"/>
    <x v="2"/>
    <s v="Jaipur"/>
    <x v="1"/>
    <x v="1"/>
    <x v="1"/>
    <n v="6"/>
    <n v="700"/>
    <n v="0"/>
    <x v="2"/>
    <x v="1"/>
    <n v="4200"/>
    <n v="0"/>
    <n v="4200"/>
  </r>
  <r>
    <s v="ORD10022"/>
    <x v="19"/>
    <s v="Kavya Kumar"/>
    <x v="1"/>
    <s v="Chennai"/>
    <x v="3"/>
    <x v="0"/>
    <x v="9"/>
    <n v="8"/>
    <n v="1600"/>
    <n v="5"/>
    <x v="3"/>
    <x v="0"/>
    <n v="12800"/>
    <n v="640"/>
    <n v="12160"/>
  </r>
  <r>
    <s v="ORD10023"/>
    <x v="20"/>
    <s v="Arjun Sharma"/>
    <x v="2"/>
    <s v="Chandigarh"/>
    <x v="0"/>
    <x v="2"/>
    <x v="11"/>
    <n v="8"/>
    <n v="250"/>
    <n v="0"/>
    <x v="1"/>
    <x v="0"/>
    <n v="2000"/>
    <n v="0"/>
    <n v="2000"/>
  </r>
  <r>
    <s v="ORD10024"/>
    <x v="21"/>
    <s v="Sneha Gupta"/>
    <x v="2"/>
    <s v="Jaipur"/>
    <x v="1"/>
    <x v="1"/>
    <x v="12"/>
    <n v="8"/>
    <n v="1800"/>
    <n v="5"/>
    <x v="2"/>
    <x v="1"/>
    <n v="14400"/>
    <n v="720"/>
    <n v="13680"/>
  </r>
  <r>
    <s v="ORD10025"/>
    <x v="22"/>
    <s v="Aditya Bhardwaj"/>
    <x v="1"/>
    <s v="Pune"/>
    <x v="1"/>
    <x v="0"/>
    <x v="13"/>
    <n v="1"/>
    <n v="7500"/>
    <n v="0"/>
    <x v="2"/>
    <x v="5"/>
    <n v="7500"/>
    <n v="0"/>
    <n v="7500"/>
  </r>
  <r>
    <s v="ORD10026"/>
    <x v="23"/>
    <s v="Aarav Kumar"/>
    <x v="2"/>
    <s v="Jaipur"/>
    <x v="1"/>
    <x v="2"/>
    <x v="3"/>
    <n v="3"/>
    <n v="120"/>
    <n v="15"/>
    <x v="2"/>
    <x v="2"/>
    <n v="360"/>
    <n v="54"/>
    <n v="306"/>
  </r>
  <r>
    <s v="ORD10027"/>
    <x v="1"/>
    <s v="Karan Singh"/>
    <x v="1"/>
    <s v="Chennai"/>
    <x v="3"/>
    <x v="0"/>
    <x v="9"/>
    <n v="8"/>
    <n v="1600"/>
    <n v="5"/>
    <x v="3"/>
    <x v="3"/>
    <n v="12800"/>
    <n v="640"/>
    <n v="12160"/>
  </r>
  <r>
    <s v="ORD10028"/>
    <x v="24"/>
    <s v="Riya Agarwal"/>
    <x v="1"/>
    <s v="Chennai"/>
    <x v="3"/>
    <x v="2"/>
    <x v="3"/>
    <n v="1"/>
    <n v="120"/>
    <n v="20"/>
    <x v="3"/>
    <x v="3"/>
    <n v="120"/>
    <n v="24"/>
    <n v="96"/>
  </r>
  <r>
    <s v="ORD10029"/>
    <x v="25"/>
    <s v="Neha Verma"/>
    <x v="0"/>
    <s v="Bhubaneswar"/>
    <x v="2"/>
    <x v="1"/>
    <x v="1"/>
    <n v="2"/>
    <n v="700"/>
    <n v="5"/>
    <x v="4"/>
    <x v="3"/>
    <n v="1400"/>
    <n v="70"/>
    <n v="1330"/>
  </r>
  <r>
    <s v="ORD10030"/>
    <x v="26"/>
    <s v="Karan Yadav"/>
    <x v="1"/>
    <s v="Bengaluru"/>
    <x v="3"/>
    <x v="1"/>
    <x v="8"/>
    <n v="6"/>
    <n v="12500"/>
    <n v="10"/>
    <x v="1"/>
    <x v="5"/>
    <n v="75000"/>
    <n v="7500"/>
    <n v="67500"/>
  </r>
  <r>
    <s v="ORD10031"/>
    <x v="19"/>
    <s v="Aditya Sharma"/>
    <x v="2"/>
    <s v="Hyderabad"/>
    <x v="3"/>
    <x v="0"/>
    <x v="0"/>
    <n v="8"/>
    <n v="6500"/>
    <n v="10"/>
    <x v="0"/>
    <x v="3"/>
    <n v="52000"/>
    <n v="5200"/>
    <n v="46800"/>
  </r>
  <r>
    <s v="ORD10032"/>
    <x v="27"/>
    <s v="Ananya Verma"/>
    <x v="1"/>
    <s v="Noida"/>
    <x v="0"/>
    <x v="0"/>
    <x v="5"/>
    <n v="5"/>
    <n v="9000"/>
    <n v="5"/>
    <x v="1"/>
    <x v="2"/>
    <n v="45000"/>
    <n v="2250"/>
    <n v="42750"/>
  </r>
  <r>
    <s v="ORD10033"/>
    <x v="28"/>
    <s v="Arjun Gupta"/>
    <x v="2"/>
    <s v="Pune"/>
    <x v="1"/>
    <x v="0"/>
    <x v="0"/>
    <n v="1"/>
    <n v="6500"/>
    <n v="10"/>
    <x v="3"/>
    <x v="0"/>
    <n v="6500"/>
    <n v="650"/>
    <n v="5850"/>
  </r>
  <r>
    <s v="ORD10034"/>
    <x v="29"/>
    <s v="Karan Singh"/>
    <x v="0"/>
    <s v="Lucknow"/>
    <x v="0"/>
    <x v="2"/>
    <x v="2"/>
    <n v="4"/>
    <n v="420"/>
    <n v="10"/>
    <x v="2"/>
    <x v="2"/>
    <n v="1680"/>
    <n v="168"/>
    <n v="1512"/>
  </r>
  <r>
    <s v="ORD10035"/>
    <x v="30"/>
    <s v="Aarav Yadav"/>
    <x v="1"/>
    <s v="Noida"/>
    <x v="0"/>
    <x v="0"/>
    <x v="7"/>
    <n v="5"/>
    <n v="8200"/>
    <n v="0"/>
    <x v="1"/>
    <x v="1"/>
    <n v="41000"/>
    <n v="0"/>
    <n v="41000"/>
  </r>
  <r>
    <s v="ORD10036"/>
    <x v="31"/>
    <s v="Aditya Gupta"/>
    <x v="0"/>
    <s v="Ahmedabad"/>
    <x v="1"/>
    <x v="0"/>
    <x v="7"/>
    <n v="1"/>
    <n v="8200"/>
    <n v="0"/>
    <x v="3"/>
    <x v="2"/>
    <n v="8200"/>
    <n v="0"/>
    <n v="8200"/>
  </r>
  <r>
    <s v="ORD10037"/>
    <x v="32"/>
    <s v="Vivaan Yadav"/>
    <x v="1"/>
    <s v="Mumbai"/>
    <x v="1"/>
    <x v="1"/>
    <x v="1"/>
    <n v="5"/>
    <n v="700"/>
    <n v="10"/>
    <x v="4"/>
    <x v="4"/>
    <n v="3500"/>
    <n v="350"/>
    <n v="3150"/>
  </r>
  <r>
    <s v="ORD10038"/>
    <x v="33"/>
    <s v="Rohit Gupta"/>
    <x v="2"/>
    <s v="Chandigarh"/>
    <x v="0"/>
    <x v="0"/>
    <x v="7"/>
    <n v="3"/>
    <n v="8200"/>
    <n v="5"/>
    <x v="3"/>
    <x v="1"/>
    <n v="24600"/>
    <n v="1230"/>
    <n v="23370"/>
  </r>
  <r>
    <s v="ORD10039"/>
    <x v="34"/>
    <s v="Rohit Verma"/>
    <x v="2"/>
    <s v="Kolkata"/>
    <x v="2"/>
    <x v="2"/>
    <x v="14"/>
    <n v="4"/>
    <n v="350"/>
    <n v="10"/>
    <x v="3"/>
    <x v="5"/>
    <n v="1400"/>
    <n v="140"/>
    <n v="1260"/>
  </r>
  <r>
    <s v="ORD10040"/>
    <x v="35"/>
    <s v="Nishant Sharma"/>
    <x v="0"/>
    <s v="Jaipur"/>
    <x v="1"/>
    <x v="2"/>
    <x v="15"/>
    <n v="5"/>
    <n v="90"/>
    <n v="5"/>
    <x v="4"/>
    <x v="5"/>
    <n v="450"/>
    <n v="22.5"/>
    <n v="427.5"/>
  </r>
  <r>
    <s v="ORD10041"/>
    <x v="36"/>
    <s v="Simran Yadav"/>
    <x v="1"/>
    <s v="Lucknow"/>
    <x v="0"/>
    <x v="1"/>
    <x v="10"/>
    <n v="6"/>
    <n v="1200"/>
    <n v="15"/>
    <x v="3"/>
    <x v="2"/>
    <n v="7200"/>
    <n v="1080"/>
    <n v="6120"/>
  </r>
  <r>
    <s v="ORD10042"/>
    <x v="37"/>
    <s v="Ananya Yadav"/>
    <x v="2"/>
    <s v="Bengaluru"/>
    <x v="3"/>
    <x v="2"/>
    <x v="3"/>
    <n v="2"/>
    <n v="120"/>
    <n v="15"/>
    <x v="0"/>
    <x v="3"/>
    <n v="240"/>
    <n v="36"/>
    <n v="204"/>
  </r>
  <r>
    <s v="ORD10043"/>
    <x v="38"/>
    <s v="Sneha Sharma"/>
    <x v="0"/>
    <s v="Mumbai"/>
    <x v="1"/>
    <x v="0"/>
    <x v="5"/>
    <n v="5"/>
    <n v="9000"/>
    <n v="0"/>
    <x v="0"/>
    <x v="4"/>
    <n v="45000"/>
    <n v="0"/>
    <n v="45000"/>
  </r>
  <r>
    <s v="ORD10044"/>
    <x v="39"/>
    <s v="Arjun Singh"/>
    <x v="0"/>
    <s v="Chandigarh"/>
    <x v="0"/>
    <x v="2"/>
    <x v="3"/>
    <n v="6"/>
    <n v="120"/>
    <n v="10"/>
    <x v="1"/>
    <x v="4"/>
    <n v="720"/>
    <n v="72"/>
    <n v="648"/>
  </r>
  <r>
    <s v="ORD10045"/>
    <x v="40"/>
    <s v="Karan Kumar"/>
    <x v="0"/>
    <s v="Chandigarh"/>
    <x v="0"/>
    <x v="2"/>
    <x v="14"/>
    <n v="5"/>
    <n v="350"/>
    <n v="5"/>
    <x v="2"/>
    <x v="4"/>
    <n v="1750"/>
    <n v="87.5"/>
    <n v="1662.5"/>
  </r>
  <r>
    <s v="ORD10046"/>
    <x v="41"/>
    <s v="Vikas Singh"/>
    <x v="1"/>
    <s v="Bengaluru"/>
    <x v="3"/>
    <x v="0"/>
    <x v="0"/>
    <n v="7"/>
    <n v="6500"/>
    <n v="0"/>
    <x v="2"/>
    <x v="3"/>
    <n v="45500"/>
    <n v="0"/>
    <n v="45500"/>
  </r>
  <r>
    <s v="ORD10047"/>
    <x v="42"/>
    <s v="Rohit Verma"/>
    <x v="2"/>
    <s v="Pune"/>
    <x v="1"/>
    <x v="2"/>
    <x v="11"/>
    <n v="4"/>
    <n v="250"/>
    <n v="20"/>
    <x v="0"/>
    <x v="4"/>
    <n v="1000"/>
    <n v="200"/>
    <n v="800"/>
  </r>
  <r>
    <s v="ORD10048"/>
    <x v="43"/>
    <s v="Karan Gupta"/>
    <x v="1"/>
    <s v="Noida"/>
    <x v="0"/>
    <x v="1"/>
    <x v="16"/>
    <n v="5"/>
    <n v="2200"/>
    <n v="5"/>
    <x v="3"/>
    <x v="1"/>
    <n v="11000"/>
    <n v="550"/>
    <n v="10450"/>
  </r>
  <r>
    <s v="ORD10049"/>
    <x v="44"/>
    <s v="Neha Jain"/>
    <x v="2"/>
    <s v="Bengaluru"/>
    <x v="3"/>
    <x v="1"/>
    <x v="8"/>
    <n v="7"/>
    <n v="12500"/>
    <n v="5"/>
    <x v="4"/>
    <x v="1"/>
    <n v="87500"/>
    <n v="4375"/>
    <n v="83125"/>
  </r>
  <r>
    <s v="ORD10050"/>
    <x v="45"/>
    <s v="Riya Jain"/>
    <x v="1"/>
    <s v="Patna"/>
    <x v="2"/>
    <x v="1"/>
    <x v="8"/>
    <n v="4"/>
    <n v="12500"/>
    <n v="5"/>
    <x v="0"/>
    <x v="1"/>
    <n v="50000"/>
    <n v="2500"/>
    <n v="47500"/>
  </r>
  <r>
    <s v="ORD10051"/>
    <x v="46"/>
    <s v="Meera Agarwal"/>
    <x v="2"/>
    <s v="Pune"/>
    <x v="1"/>
    <x v="1"/>
    <x v="8"/>
    <n v="6"/>
    <n v="12500"/>
    <n v="20"/>
    <x v="0"/>
    <x v="5"/>
    <n v="75000"/>
    <n v="15000"/>
    <n v="60000"/>
  </r>
  <r>
    <s v="ORD10052"/>
    <x v="47"/>
    <s v="Aman Agarwal"/>
    <x v="2"/>
    <s v="Chennai"/>
    <x v="3"/>
    <x v="2"/>
    <x v="11"/>
    <n v="5"/>
    <n v="250"/>
    <n v="5"/>
    <x v="4"/>
    <x v="2"/>
    <n v="1250"/>
    <n v="62.5"/>
    <n v="1187.5"/>
  </r>
  <r>
    <s v="ORD10053"/>
    <x v="48"/>
    <s v="Priya Yadav"/>
    <x v="0"/>
    <s v="Noida"/>
    <x v="0"/>
    <x v="0"/>
    <x v="0"/>
    <n v="4"/>
    <n v="6500"/>
    <n v="10"/>
    <x v="3"/>
    <x v="1"/>
    <n v="26000"/>
    <n v="2600"/>
    <n v="23400"/>
  </r>
  <r>
    <s v="ORD10054"/>
    <x v="49"/>
    <s v="Aditya Kumar"/>
    <x v="2"/>
    <s v="Jaipur"/>
    <x v="1"/>
    <x v="2"/>
    <x v="14"/>
    <n v="3"/>
    <n v="350"/>
    <n v="5"/>
    <x v="1"/>
    <x v="3"/>
    <n v="1050"/>
    <n v="52.5"/>
    <n v="997.5"/>
  </r>
  <r>
    <s v="ORD10055"/>
    <x v="50"/>
    <s v="Isha Sharma"/>
    <x v="0"/>
    <s v="Mumbai"/>
    <x v="1"/>
    <x v="1"/>
    <x v="6"/>
    <n v="7"/>
    <n v="450"/>
    <n v="15"/>
    <x v="2"/>
    <x v="5"/>
    <n v="3150"/>
    <n v="472.5"/>
    <n v="2677.5"/>
  </r>
  <r>
    <s v="ORD10056"/>
    <x v="51"/>
    <s v="Kavya Bhardwaj"/>
    <x v="2"/>
    <s v="Chandigarh"/>
    <x v="0"/>
    <x v="2"/>
    <x v="11"/>
    <n v="7"/>
    <n v="250"/>
    <n v="5"/>
    <x v="2"/>
    <x v="5"/>
    <n v="1750"/>
    <n v="87.5"/>
    <n v="1662.5"/>
  </r>
  <r>
    <s v="ORD10057"/>
    <x v="52"/>
    <s v="Pooja Gupta"/>
    <x v="0"/>
    <s v="Mumbai"/>
    <x v="1"/>
    <x v="2"/>
    <x v="14"/>
    <n v="7"/>
    <n v="350"/>
    <n v="5"/>
    <x v="0"/>
    <x v="0"/>
    <n v="2450"/>
    <n v="122.5"/>
    <n v="2327.5"/>
  </r>
  <r>
    <s v="ORD10058"/>
    <x v="53"/>
    <s v="Rahul Jain"/>
    <x v="1"/>
    <s v="Bengaluru"/>
    <x v="3"/>
    <x v="0"/>
    <x v="13"/>
    <n v="2"/>
    <n v="7500"/>
    <n v="15"/>
    <x v="3"/>
    <x v="2"/>
    <n v="15000"/>
    <n v="2250"/>
    <n v="12750"/>
  </r>
  <r>
    <s v="ORD10059"/>
    <x v="54"/>
    <s v="Neha Singh"/>
    <x v="2"/>
    <s v="Chandigarh"/>
    <x v="0"/>
    <x v="1"/>
    <x v="8"/>
    <n v="6"/>
    <n v="12500"/>
    <n v="10"/>
    <x v="1"/>
    <x v="0"/>
    <n v="75000"/>
    <n v="7500"/>
    <n v="67500"/>
  </r>
  <r>
    <s v="ORD10060"/>
    <x v="55"/>
    <s v="Nishant Verma"/>
    <x v="0"/>
    <s v="Delhi"/>
    <x v="0"/>
    <x v="0"/>
    <x v="9"/>
    <n v="1"/>
    <n v="1600"/>
    <n v="10"/>
    <x v="3"/>
    <x v="0"/>
    <n v="1600"/>
    <n v="160"/>
    <n v="1440"/>
  </r>
  <r>
    <s v="ORD10061"/>
    <x v="17"/>
    <s v="Rahul Jain"/>
    <x v="0"/>
    <s v="Jaipur"/>
    <x v="1"/>
    <x v="1"/>
    <x v="12"/>
    <n v="3"/>
    <n v="1800"/>
    <n v="5"/>
    <x v="3"/>
    <x v="3"/>
    <n v="5400"/>
    <n v="270"/>
    <n v="5130"/>
  </r>
  <r>
    <s v="ORD10062"/>
    <x v="56"/>
    <s v="Meera Mishra"/>
    <x v="0"/>
    <s v="Pune"/>
    <x v="1"/>
    <x v="0"/>
    <x v="0"/>
    <n v="6"/>
    <n v="6500"/>
    <n v="5"/>
    <x v="3"/>
    <x v="1"/>
    <n v="39000"/>
    <n v="1950"/>
    <n v="37050"/>
  </r>
  <r>
    <s v="ORD10063"/>
    <x v="57"/>
    <s v="Neha Bhardwaj"/>
    <x v="1"/>
    <s v="Noida"/>
    <x v="0"/>
    <x v="0"/>
    <x v="13"/>
    <n v="5"/>
    <n v="7500"/>
    <n v="15"/>
    <x v="0"/>
    <x v="4"/>
    <n v="37500"/>
    <n v="5625"/>
    <n v="31875"/>
  </r>
  <r>
    <s v="ORD10064"/>
    <x v="58"/>
    <s v="Ananya Agarwal"/>
    <x v="2"/>
    <s v="Noida"/>
    <x v="0"/>
    <x v="0"/>
    <x v="0"/>
    <n v="2"/>
    <n v="6500"/>
    <n v="0"/>
    <x v="1"/>
    <x v="0"/>
    <n v="13000"/>
    <n v="0"/>
    <n v="13000"/>
  </r>
  <r>
    <s v="ORD10065"/>
    <x v="59"/>
    <s v="Arjun Kumar"/>
    <x v="2"/>
    <s v="Hyderabad"/>
    <x v="3"/>
    <x v="2"/>
    <x v="3"/>
    <n v="7"/>
    <n v="120"/>
    <n v="20"/>
    <x v="2"/>
    <x v="4"/>
    <n v="840"/>
    <n v="168"/>
    <n v="672"/>
  </r>
  <r>
    <s v="ORD10066"/>
    <x v="60"/>
    <s v="Pooja Kumar"/>
    <x v="0"/>
    <s v="Noida "/>
    <x v="1"/>
    <x v="1"/>
    <x v="16"/>
    <n v="5"/>
    <n v="2200"/>
    <n v="20"/>
    <x v="0"/>
    <x v="2"/>
    <n v="11000"/>
    <n v="2200"/>
    <n v="8800"/>
  </r>
  <r>
    <s v="ORD10067"/>
    <x v="15"/>
    <s v="Nishant Jain"/>
    <x v="0"/>
    <s v="Bhubaneswar"/>
    <x v="2"/>
    <x v="1"/>
    <x v="1"/>
    <n v="5"/>
    <n v="700"/>
    <n v="20"/>
    <x v="0"/>
    <x v="4"/>
    <n v="3500"/>
    <n v="700"/>
    <n v="2800"/>
  </r>
  <r>
    <s v="ORD10068"/>
    <x v="54"/>
    <s v="Kavya Bhardwaj"/>
    <x v="2"/>
    <s v="Chandigarh"/>
    <x v="0"/>
    <x v="1"/>
    <x v="8"/>
    <n v="6"/>
    <n v="12500"/>
    <n v="5"/>
    <x v="1"/>
    <x v="2"/>
    <n v="75000"/>
    <n v="3750"/>
    <n v="71250"/>
  </r>
  <r>
    <s v="ORD10069"/>
    <x v="61"/>
    <s v="Aditya Bhardwaj"/>
    <x v="0"/>
    <s v="Patna"/>
    <x v="2"/>
    <x v="0"/>
    <x v="0"/>
    <n v="1"/>
    <n v="6500"/>
    <n v="5"/>
    <x v="2"/>
    <x v="5"/>
    <n v="6500"/>
    <n v="325"/>
    <n v="6175"/>
  </r>
  <r>
    <s v="ORD10070"/>
    <x v="62"/>
    <s v="Aarav Verma"/>
    <x v="2"/>
    <s v="Chennai"/>
    <x v="3"/>
    <x v="2"/>
    <x v="14"/>
    <n v="8"/>
    <n v="350"/>
    <n v="20"/>
    <x v="4"/>
    <x v="5"/>
    <n v="2800"/>
    <n v="560"/>
    <n v="2240"/>
  </r>
  <r>
    <s v="ORD10071"/>
    <x v="58"/>
    <s v="Simran Agarwal"/>
    <x v="2"/>
    <s v="Lucknow"/>
    <x v="0"/>
    <x v="0"/>
    <x v="9"/>
    <n v="6"/>
    <n v="1600"/>
    <n v="20"/>
    <x v="2"/>
    <x v="4"/>
    <n v="9600"/>
    <n v="1920"/>
    <n v="7680"/>
  </r>
  <r>
    <s v="ORD10072"/>
    <x v="63"/>
    <s v="Aman Bhardwaj"/>
    <x v="1"/>
    <s v="Chandigarh"/>
    <x v="0"/>
    <x v="0"/>
    <x v="7"/>
    <n v="5"/>
    <n v="8200"/>
    <n v="10"/>
    <x v="4"/>
    <x v="2"/>
    <n v="41000"/>
    <n v="4100"/>
    <n v="36900"/>
  </r>
  <r>
    <s v="ORD10073"/>
    <x v="64"/>
    <s v="Kavya Singh"/>
    <x v="0"/>
    <s v="Chennai"/>
    <x v="3"/>
    <x v="0"/>
    <x v="5"/>
    <n v="4"/>
    <n v="9000"/>
    <n v="5"/>
    <x v="0"/>
    <x v="3"/>
    <n v="36000"/>
    <n v="1800"/>
    <n v="34200"/>
  </r>
  <r>
    <s v="ORD10074"/>
    <x v="65"/>
    <s v="Rohit Singh"/>
    <x v="1"/>
    <s v="Noida"/>
    <x v="0"/>
    <x v="1"/>
    <x v="10"/>
    <n v="4"/>
    <n v="1200"/>
    <n v="10"/>
    <x v="0"/>
    <x v="1"/>
    <n v="4800"/>
    <n v="480"/>
    <n v="4320"/>
  </r>
  <r>
    <s v="ORD10075"/>
    <x v="66"/>
    <s v="Kavya Verma"/>
    <x v="1"/>
    <s v="Delhi"/>
    <x v="0"/>
    <x v="1"/>
    <x v="12"/>
    <n v="5"/>
    <n v="1800"/>
    <n v="5"/>
    <x v="0"/>
    <x v="2"/>
    <n v="9000"/>
    <n v="450"/>
    <n v="8550"/>
  </r>
  <r>
    <s v="ORD10076"/>
    <x v="55"/>
    <s v="Aman Jain"/>
    <x v="1"/>
    <s v="Pune"/>
    <x v="1"/>
    <x v="2"/>
    <x v="15"/>
    <n v="3"/>
    <n v="90"/>
    <n v="0"/>
    <x v="3"/>
    <x v="5"/>
    <n v="270"/>
    <n v="0"/>
    <n v="270"/>
  </r>
  <r>
    <s v="ORD10077"/>
    <x v="67"/>
    <s v="Isha Singh"/>
    <x v="1"/>
    <s v="Noida"/>
    <x v="0"/>
    <x v="0"/>
    <x v="13"/>
    <n v="3"/>
    <n v="7500"/>
    <n v="5"/>
    <x v="4"/>
    <x v="0"/>
    <n v="22500"/>
    <n v="1125"/>
    <n v="21375"/>
  </r>
  <r>
    <s v="ORD10078"/>
    <x v="68"/>
    <s v="Pooja Jain"/>
    <x v="2"/>
    <s v="Bengaluru"/>
    <x v="3"/>
    <x v="0"/>
    <x v="9"/>
    <n v="4"/>
    <n v="1600"/>
    <n v="15"/>
    <x v="0"/>
    <x v="5"/>
    <n v="6400"/>
    <n v="960"/>
    <n v="5440"/>
  </r>
  <r>
    <s v="ORD10079"/>
    <x v="69"/>
    <s v="Karan Singh"/>
    <x v="0"/>
    <s v="Bengaluru"/>
    <x v="3"/>
    <x v="0"/>
    <x v="13"/>
    <n v="2"/>
    <n v="7500"/>
    <n v="5"/>
    <x v="3"/>
    <x v="1"/>
    <n v="15000"/>
    <n v="750"/>
    <n v="14250"/>
  </r>
  <r>
    <s v="ORD10080"/>
    <x v="70"/>
    <s v="Sneha Jain"/>
    <x v="0"/>
    <s v="Ghaziabad"/>
    <x v="0"/>
    <x v="0"/>
    <x v="13"/>
    <n v="3"/>
    <n v="7500"/>
    <n v="0"/>
    <x v="0"/>
    <x v="5"/>
    <n v="22500"/>
    <n v="0"/>
    <n v="22500"/>
  </r>
  <r>
    <s v="ORD10081"/>
    <x v="71"/>
    <s v="Aditya Bhardwaj"/>
    <x v="2"/>
    <s v="Delhi"/>
    <x v="0"/>
    <x v="1"/>
    <x v="10"/>
    <n v="5"/>
    <n v="1200"/>
    <n v="20"/>
    <x v="0"/>
    <x v="4"/>
    <n v="6000"/>
    <n v="1200"/>
    <n v="4800"/>
  </r>
  <r>
    <s v="ORD10082"/>
    <x v="72"/>
    <s v="Aman Gupta"/>
    <x v="1"/>
    <s v="Mumbai"/>
    <x v="1"/>
    <x v="1"/>
    <x v="12"/>
    <n v="4"/>
    <n v="1800"/>
    <n v="5"/>
    <x v="3"/>
    <x v="1"/>
    <n v="7200"/>
    <n v="360"/>
    <n v="6840"/>
  </r>
  <r>
    <s v="ORD10083"/>
    <x v="73"/>
    <s v="Arjun Jain"/>
    <x v="0"/>
    <s v="Bengaluru"/>
    <x v="3"/>
    <x v="0"/>
    <x v="9"/>
    <n v="5"/>
    <n v="1600"/>
    <n v="20"/>
    <x v="1"/>
    <x v="4"/>
    <n v="8000"/>
    <n v="1600"/>
    <n v="6400"/>
  </r>
  <r>
    <s v="ORD10084"/>
    <x v="74"/>
    <s v="Aditya Mishra"/>
    <x v="1"/>
    <s v="Lucknow"/>
    <x v="0"/>
    <x v="0"/>
    <x v="9"/>
    <n v="8"/>
    <n v="1600"/>
    <n v="20"/>
    <x v="2"/>
    <x v="4"/>
    <n v="12800"/>
    <n v="2560"/>
    <n v="10240"/>
  </r>
  <r>
    <s v="ORD10085"/>
    <x v="15"/>
    <s v="Isha Mishra"/>
    <x v="1"/>
    <s v="Bengaluru"/>
    <x v="3"/>
    <x v="2"/>
    <x v="3"/>
    <n v="2"/>
    <n v="120"/>
    <n v="5"/>
    <x v="1"/>
    <x v="3"/>
    <n v="240"/>
    <n v="12"/>
    <n v="228"/>
  </r>
  <r>
    <s v="ORD10086"/>
    <x v="26"/>
    <s v="Rohit Mishra"/>
    <x v="2"/>
    <s v="Kolkata"/>
    <x v="2"/>
    <x v="1"/>
    <x v="8"/>
    <n v="8"/>
    <n v="12500"/>
    <n v="10"/>
    <x v="2"/>
    <x v="0"/>
    <n v="100000"/>
    <n v="10000"/>
    <n v="90000"/>
  </r>
  <r>
    <s v="ORD10087"/>
    <x v="55"/>
    <s v="Rohit Yadav"/>
    <x v="2"/>
    <s v="Chandigarh"/>
    <x v="0"/>
    <x v="2"/>
    <x v="15"/>
    <n v="6"/>
    <n v="90"/>
    <n v="0"/>
    <x v="2"/>
    <x v="2"/>
    <n v="540"/>
    <n v="0"/>
    <n v="540"/>
  </r>
  <r>
    <s v="ORD10088"/>
    <x v="75"/>
    <s v="Priya Singh"/>
    <x v="2"/>
    <s v="Bhubaneswar"/>
    <x v="2"/>
    <x v="0"/>
    <x v="13"/>
    <n v="8"/>
    <n v="7500"/>
    <n v="0"/>
    <x v="3"/>
    <x v="5"/>
    <n v="60000"/>
    <n v="0"/>
    <n v="60000"/>
  </r>
  <r>
    <s v="ORD10089"/>
    <x v="76"/>
    <s v="Vivaan Bhardwaj"/>
    <x v="0"/>
    <s v="Bhubaneswar"/>
    <x v="2"/>
    <x v="1"/>
    <x v="16"/>
    <n v="8"/>
    <n v="2200"/>
    <n v="15"/>
    <x v="1"/>
    <x v="3"/>
    <n v="17600"/>
    <n v="2640"/>
    <n v="14960"/>
  </r>
  <r>
    <s v="ORD10090"/>
    <x v="77"/>
    <s v="Simran Gupta"/>
    <x v="2"/>
    <s v="Hyderabad"/>
    <x v="3"/>
    <x v="2"/>
    <x v="3"/>
    <n v="4"/>
    <n v="120"/>
    <n v="10"/>
    <x v="2"/>
    <x v="4"/>
    <n v="480"/>
    <n v="48"/>
    <n v="432"/>
  </r>
  <r>
    <s v="ORD10091"/>
    <x v="78"/>
    <s v="Vikas Agarwal"/>
    <x v="1"/>
    <s v="Noida"/>
    <x v="0"/>
    <x v="1"/>
    <x v="16"/>
    <n v="4"/>
    <n v="2200"/>
    <n v="5"/>
    <x v="0"/>
    <x v="5"/>
    <n v="8800"/>
    <n v="440"/>
    <n v="8360"/>
  </r>
  <r>
    <s v="ORD10092"/>
    <x v="79"/>
    <s v="Kavya Singh"/>
    <x v="0"/>
    <s v="Jaipur"/>
    <x v="1"/>
    <x v="1"/>
    <x v="8"/>
    <n v="2"/>
    <n v="12500"/>
    <n v="5"/>
    <x v="1"/>
    <x v="5"/>
    <n v="25000"/>
    <n v="1250"/>
    <n v="23750"/>
  </r>
  <r>
    <s v="ORD10093"/>
    <x v="80"/>
    <s v="Karan Mishra"/>
    <x v="0"/>
    <s v="Pune"/>
    <x v="1"/>
    <x v="1"/>
    <x v="8"/>
    <n v="3"/>
    <n v="12500"/>
    <n v="15"/>
    <x v="4"/>
    <x v="0"/>
    <n v="37500"/>
    <n v="5625"/>
    <n v="31875"/>
  </r>
  <r>
    <s v="ORD10094"/>
    <x v="81"/>
    <s v="Vikas Singh"/>
    <x v="0"/>
    <s v="Kolkata"/>
    <x v="2"/>
    <x v="2"/>
    <x v="15"/>
    <n v="5"/>
    <n v="90"/>
    <n v="0"/>
    <x v="0"/>
    <x v="4"/>
    <n v="450"/>
    <n v="0"/>
    <n v="450"/>
  </r>
  <r>
    <s v="ORD10095"/>
    <x v="82"/>
    <s v="Priya Agarwal"/>
    <x v="0"/>
    <s v="Bhubaneswar"/>
    <x v="2"/>
    <x v="1"/>
    <x v="8"/>
    <n v="8"/>
    <n v="12500"/>
    <n v="10"/>
    <x v="2"/>
    <x v="5"/>
    <n v="100000"/>
    <n v="10000"/>
    <n v="90000"/>
  </r>
  <r>
    <s v="ORD10096"/>
    <x v="42"/>
    <s v="Nishant Kumar"/>
    <x v="1"/>
    <s v="Bhubaneswar"/>
    <x v="2"/>
    <x v="1"/>
    <x v="16"/>
    <n v="4"/>
    <n v="2200"/>
    <n v="15"/>
    <x v="1"/>
    <x v="4"/>
    <n v="8800"/>
    <n v="1320"/>
    <n v="7480"/>
  </r>
  <r>
    <s v="ORD10097"/>
    <x v="83"/>
    <s v="Vivaan Gupta"/>
    <x v="0"/>
    <s v="Chennai"/>
    <x v="3"/>
    <x v="2"/>
    <x v="11"/>
    <n v="3"/>
    <n v="250"/>
    <n v="20"/>
    <x v="0"/>
    <x v="2"/>
    <n v="750"/>
    <n v="150"/>
    <n v="600"/>
  </r>
  <r>
    <s v="ORD10098"/>
    <x v="27"/>
    <s v="Rahul Kumar"/>
    <x v="0"/>
    <s v="Bhubaneswar"/>
    <x v="2"/>
    <x v="2"/>
    <x v="3"/>
    <n v="8"/>
    <n v="120"/>
    <n v="0"/>
    <x v="4"/>
    <x v="0"/>
    <n v="960"/>
    <n v="0"/>
    <n v="960"/>
  </r>
  <r>
    <s v="ORD10099"/>
    <x v="55"/>
    <s v="Priya Agarwal"/>
    <x v="2"/>
    <s v="Kolkata"/>
    <x v="2"/>
    <x v="2"/>
    <x v="15"/>
    <n v="7"/>
    <n v="90"/>
    <n v="0"/>
    <x v="1"/>
    <x v="4"/>
    <n v="630"/>
    <n v="0"/>
    <n v="630"/>
  </r>
  <r>
    <s v="ORD10100"/>
    <x v="84"/>
    <s v="Vikas Bhardwaj"/>
    <x v="0"/>
    <s v="Bhubaneswar"/>
    <x v="2"/>
    <x v="0"/>
    <x v="13"/>
    <n v="2"/>
    <n v="7500"/>
    <n v="5"/>
    <x v="3"/>
    <x v="5"/>
    <n v="15000"/>
    <n v="750"/>
    <n v="14250"/>
  </r>
  <r>
    <s v="ORD10101"/>
    <x v="85"/>
    <s v="Vikas Sharma"/>
    <x v="1"/>
    <s v="Kolkata"/>
    <x v="2"/>
    <x v="0"/>
    <x v="13"/>
    <n v="8"/>
    <n v="7500"/>
    <n v="5"/>
    <x v="1"/>
    <x v="0"/>
    <n v="60000"/>
    <n v="3000"/>
    <n v="57000"/>
  </r>
  <r>
    <s v="ORD10102"/>
    <x v="13"/>
    <s v="Riya Kumar"/>
    <x v="0"/>
    <s v="Chandigarh"/>
    <x v="0"/>
    <x v="2"/>
    <x v="11"/>
    <n v="3"/>
    <n v="250"/>
    <n v="5"/>
    <x v="4"/>
    <x v="1"/>
    <n v="750"/>
    <n v="37.5"/>
    <n v="712.5"/>
  </r>
  <r>
    <s v="ORD10103"/>
    <x v="41"/>
    <s v="Isha Gupta"/>
    <x v="1"/>
    <s v="Noida"/>
    <x v="0"/>
    <x v="0"/>
    <x v="7"/>
    <n v="4"/>
    <n v="8200"/>
    <n v="20"/>
    <x v="2"/>
    <x v="4"/>
    <n v="32800"/>
    <n v="6560"/>
    <n v="26240"/>
  </r>
  <r>
    <s v="ORD10104"/>
    <x v="86"/>
    <s v="Vikas Agarwal"/>
    <x v="1"/>
    <s v="Pune"/>
    <x v="1"/>
    <x v="2"/>
    <x v="14"/>
    <n v="1"/>
    <n v="350"/>
    <n v="20"/>
    <x v="3"/>
    <x v="5"/>
    <n v="350"/>
    <n v="70"/>
    <n v="280"/>
  </r>
  <r>
    <s v="ORD10105"/>
    <x v="87"/>
    <s v="Pooja Singh"/>
    <x v="1"/>
    <s v="Bengaluru"/>
    <x v="3"/>
    <x v="2"/>
    <x v="14"/>
    <n v="7"/>
    <n v="350"/>
    <n v="10"/>
    <x v="2"/>
    <x v="5"/>
    <n v="2450"/>
    <n v="245"/>
    <n v="2205"/>
  </r>
  <r>
    <s v="ORD10106"/>
    <x v="88"/>
    <s v="Vikas Sharma"/>
    <x v="0"/>
    <s v="Jaipur"/>
    <x v="1"/>
    <x v="2"/>
    <x v="2"/>
    <n v="6"/>
    <n v="420"/>
    <n v="10"/>
    <x v="2"/>
    <x v="2"/>
    <n v="2520"/>
    <n v="252"/>
    <n v="2268"/>
  </r>
  <r>
    <s v="ORD10107"/>
    <x v="89"/>
    <s v="Nishant Mishra"/>
    <x v="2"/>
    <s v="Bengaluru"/>
    <x v="3"/>
    <x v="0"/>
    <x v="13"/>
    <n v="8"/>
    <n v="7500"/>
    <n v="10"/>
    <x v="4"/>
    <x v="4"/>
    <n v="60000"/>
    <n v="6000"/>
    <n v="54000"/>
  </r>
  <r>
    <s v="ORD10108"/>
    <x v="90"/>
    <s v="Vivaan Singh"/>
    <x v="2"/>
    <s v="Bengaluru"/>
    <x v="3"/>
    <x v="2"/>
    <x v="14"/>
    <n v="3"/>
    <n v="350"/>
    <n v="0"/>
    <x v="3"/>
    <x v="3"/>
    <n v="1050"/>
    <n v="0"/>
    <n v="1050"/>
  </r>
  <r>
    <s v="ORD10109"/>
    <x v="91"/>
    <s v="Sneha Gupta"/>
    <x v="1"/>
    <s v="Chennai"/>
    <x v="3"/>
    <x v="1"/>
    <x v="1"/>
    <n v="5"/>
    <n v="700"/>
    <n v="10"/>
    <x v="4"/>
    <x v="3"/>
    <n v="3500"/>
    <n v="350"/>
    <n v="3150"/>
  </r>
  <r>
    <s v="ORD10110"/>
    <x v="92"/>
    <s v="Kavya Singh"/>
    <x v="0"/>
    <s v="Ahmedabad"/>
    <x v="1"/>
    <x v="0"/>
    <x v="0"/>
    <n v="3"/>
    <n v="6500"/>
    <n v="10"/>
    <x v="1"/>
    <x v="0"/>
    <n v="19500"/>
    <n v="1950"/>
    <n v="17550"/>
  </r>
  <r>
    <s v="ORD10111"/>
    <x v="12"/>
    <s v="Aditya Kumar"/>
    <x v="1"/>
    <s v="Noida"/>
    <x v="0"/>
    <x v="1"/>
    <x v="6"/>
    <n v="7"/>
    <n v="450"/>
    <n v="10"/>
    <x v="1"/>
    <x v="3"/>
    <n v="3150"/>
    <n v="315"/>
    <n v="2835"/>
  </r>
  <r>
    <s v="ORD10112"/>
    <x v="93"/>
    <s v="Ananya Verma"/>
    <x v="0"/>
    <s v="Pune"/>
    <x v="1"/>
    <x v="2"/>
    <x v="14"/>
    <n v="5"/>
    <n v="350"/>
    <n v="15"/>
    <x v="4"/>
    <x v="5"/>
    <n v="1750"/>
    <n v="262.5"/>
    <n v="1487.5"/>
  </r>
  <r>
    <s v="ORD10113"/>
    <x v="94"/>
    <s v="Pooja Singh"/>
    <x v="0"/>
    <s v="Bengaluru"/>
    <x v="3"/>
    <x v="0"/>
    <x v="0"/>
    <n v="4"/>
    <n v="6500"/>
    <n v="0"/>
    <x v="2"/>
    <x v="0"/>
    <n v="26000"/>
    <n v="0"/>
    <n v="26000"/>
  </r>
  <r>
    <s v="ORD10114"/>
    <x v="95"/>
    <s v="Arjun Bhardwaj"/>
    <x v="0"/>
    <s v="Delhi"/>
    <x v="0"/>
    <x v="1"/>
    <x v="10"/>
    <n v="8"/>
    <n v="1200"/>
    <n v="0"/>
    <x v="4"/>
    <x v="5"/>
    <n v="9600"/>
    <n v="0"/>
    <n v="9600"/>
  </r>
  <r>
    <s v="ORD10115"/>
    <x v="6"/>
    <s v="Sneha Verma"/>
    <x v="2"/>
    <s v="Chandigarh"/>
    <x v="0"/>
    <x v="0"/>
    <x v="9"/>
    <n v="7"/>
    <n v="1600"/>
    <n v="5"/>
    <x v="0"/>
    <x v="5"/>
    <n v="11200"/>
    <n v="560"/>
    <n v="10640"/>
  </r>
  <r>
    <s v="ORD10116"/>
    <x v="61"/>
    <s v="Pooja Bhardwaj"/>
    <x v="2"/>
    <s v="Delhi"/>
    <x v="0"/>
    <x v="0"/>
    <x v="0"/>
    <n v="4"/>
    <n v="6500"/>
    <n v="20"/>
    <x v="3"/>
    <x v="4"/>
    <n v="26000"/>
    <n v="5200"/>
    <n v="20800"/>
  </r>
  <r>
    <s v="ORD10117"/>
    <x v="96"/>
    <s v="Aman Bhardwaj"/>
    <x v="1"/>
    <s v="Ahmedabad"/>
    <x v="1"/>
    <x v="0"/>
    <x v="0"/>
    <n v="1"/>
    <n v="6500"/>
    <n v="15"/>
    <x v="2"/>
    <x v="0"/>
    <n v="6500"/>
    <n v="975"/>
    <n v="5525"/>
  </r>
  <r>
    <s v="ORD10118"/>
    <x v="97"/>
    <s v="Priya Bhardwaj"/>
    <x v="1"/>
    <s v="Hyderabad"/>
    <x v="3"/>
    <x v="0"/>
    <x v="9"/>
    <n v="1"/>
    <n v="1600"/>
    <n v="0"/>
    <x v="0"/>
    <x v="1"/>
    <n v="1600"/>
    <n v="0"/>
    <n v="1600"/>
  </r>
  <r>
    <s v="ORD10119"/>
    <x v="98"/>
    <s v="Priya Gupta"/>
    <x v="0"/>
    <s v="Bhubaneswar"/>
    <x v="2"/>
    <x v="0"/>
    <x v="5"/>
    <n v="4"/>
    <n v="9000"/>
    <n v="5"/>
    <x v="3"/>
    <x v="2"/>
    <n v="36000"/>
    <n v="1800"/>
    <n v="34200"/>
  </r>
  <r>
    <s v="ORD10120"/>
    <x v="99"/>
    <s v="Aarav Gupta"/>
    <x v="1"/>
    <s v="Ghaziabad"/>
    <x v="0"/>
    <x v="0"/>
    <x v="0"/>
    <n v="3"/>
    <n v="6500"/>
    <n v="0"/>
    <x v="1"/>
    <x v="1"/>
    <n v="19500"/>
    <n v="0"/>
    <n v="19500"/>
  </r>
  <r>
    <s v="ORD10121"/>
    <x v="15"/>
    <s v="Sneha Agarwal"/>
    <x v="1"/>
    <s v="Delhi"/>
    <x v="0"/>
    <x v="1"/>
    <x v="10"/>
    <n v="1"/>
    <n v="1200"/>
    <n v="5"/>
    <x v="3"/>
    <x v="5"/>
    <n v="1200"/>
    <n v="60"/>
    <n v="1140"/>
  </r>
  <r>
    <s v="ORD10122"/>
    <x v="100"/>
    <s v="Riya Bhardwaj"/>
    <x v="0"/>
    <s v="Kolkata"/>
    <x v="2"/>
    <x v="2"/>
    <x v="2"/>
    <n v="2"/>
    <n v="420"/>
    <n v="20"/>
    <x v="3"/>
    <x v="4"/>
    <n v="840"/>
    <n v="168"/>
    <n v="672"/>
  </r>
  <r>
    <s v="ORD10123"/>
    <x v="101"/>
    <s v="Kavya Kumar"/>
    <x v="2"/>
    <s v="Lucknow"/>
    <x v="0"/>
    <x v="2"/>
    <x v="14"/>
    <n v="1"/>
    <n v="350"/>
    <n v="0"/>
    <x v="5"/>
    <x v="5"/>
    <n v="350"/>
    <n v="0"/>
    <n v="350"/>
  </r>
  <r>
    <s v="ORD10124"/>
    <x v="102"/>
    <s v="Rahul Singh"/>
    <x v="0"/>
    <s v="Noida"/>
    <x v="0"/>
    <x v="1"/>
    <x v="10"/>
    <n v="3"/>
    <n v="1200"/>
    <n v="0"/>
    <x v="0"/>
    <x v="3"/>
    <n v="3600"/>
    <n v="0"/>
    <n v="3600"/>
  </r>
  <r>
    <s v="ORD10125"/>
    <x v="8"/>
    <s v="Riya Mishra"/>
    <x v="2"/>
    <s v="Mumbai"/>
    <x v="1"/>
    <x v="0"/>
    <x v="9"/>
    <n v="5"/>
    <n v="1600"/>
    <n v="20"/>
    <x v="3"/>
    <x v="4"/>
    <n v="8000"/>
    <n v="1600"/>
    <n v="6400"/>
  </r>
  <r>
    <s v="ORD10126"/>
    <x v="103"/>
    <s v="Pooja Bhardwaj"/>
    <x v="2"/>
    <s v="Bhubaneswar"/>
    <x v="2"/>
    <x v="0"/>
    <x v="9"/>
    <n v="4"/>
    <n v="1600"/>
    <n v="15"/>
    <x v="1"/>
    <x v="5"/>
    <n v="6400"/>
    <n v="960"/>
    <n v="5440"/>
  </r>
  <r>
    <s v="ORD10127"/>
    <x v="104"/>
    <s v="Priya Singh"/>
    <x v="2"/>
    <s v="Mumbai"/>
    <x v="1"/>
    <x v="0"/>
    <x v="13"/>
    <n v="6"/>
    <n v="7500"/>
    <n v="15"/>
    <x v="4"/>
    <x v="4"/>
    <n v="45000"/>
    <n v="6750"/>
    <n v="38250"/>
  </r>
  <r>
    <s v="ORD10128"/>
    <x v="83"/>
    <s v="Arjun Yadav"/>
    <x v="1"/>
    <s v="Noida"/>
    <x v="0"/>
    <x v="1"/>
    <x v="1"/>
    <n v="2"/>
    <n v="700"/>
    <n v="15"/>
    <x v="0"/>
    <x v="0"/>
    <n v="1400"/>
    <n v="210"/>
    <n v="1190"/>
  </r>
  <r>
    <s v="ORD10129"/>
    <x v="36"/>
    <s v="Vivaan Singh"/>
    <x v="0"/>
    <s v="Hyderabad"/>
    <x v="3"/>
    <x v="1"/>
    <x v="8"/>
    <n v="6"/>
    <n v="12500"/>
    <n v="15"/>
    <x v="1"/>
    <x v="2"/>
    <n v="75000"/>
    <n v="11250"/>
    <n v="63750"/>
  </r>
  <r>
    <s v="ORD10130"/>
    <x v="105"/>
    <s v="Nishant Verma"/>
    <x v="2"/>
    <s v="Bengaluru"/>
    <x v="3"/>
    <x v="0"/>
    <x v="5"/>
    <n v="3"/>
    <n v="9000"/>
    <n v="20"/>
    <x v="0"/>
    <x v="2"/>
    <n v="27000"/>
    <n v="5400"/>
    <n v="21600"/>
  </r>
  <r>
    <s v="ORD10131"/>
    <x v="103"/>
    <s v="Simran Mishra"/>
    <x v="0"/>
    <s v="Kolkata"/>
    <x v="2"/>
    <x v="2"/>
    <x v="2"/>
    <n v="4"/>
    <n v="420"/>
    <n v="15"/>
    <x v="0"/>
    <x v="0"/>
    <n v="1680"/>
    <n v="252"/>
    <n v="1428"/>
  </r>
  <r>
    <s v="ORD10132"/>
    <x v="106"/>
    <s v="Ananya Sharma"/>
    <x v="1"/>
    <s v="Delhi"/>
    <x v="0"/>
    <x v="1"/>
    <x v="10"/>
    <n v="5"/>
    <n v="1200"/>
    <n v="10"/>
    <x v="4"/>
    <x v="3"/>
    <n v="6000"/>
    <n v="600"/>
    <n v="5400"/>
  </r>
  <r>
    <s v="ORD10133"/>
    <x v="75"/>
    <s v="Riya Bhardwaj"/>
    <x v="2"/>
    <s v="Noida"/>
    <x v="0"/>
    <x v="1"/>
    <x v="16"/>
    <n v="1"/>
    <n v="2200"/>
    <n v="0"/>
    <x v="2"/>
    <x v="5"/>
    <n v="2200"/>
    <n v="0"/>
    <n v="2200"/>
  </r>
  <r>
    <s v="ORD10134"/>
    <x v="107"/>
    <s v="Vivaan Gupta"/>
    <x v="1"/>
    <s v="Ghaziabad"/>
    <x v="0"/>
    <x v="2"/>
    <x v="15"/>
    <n v="6"/>
    <n v="90"/>
    <n v="0"/>
    <x v="0"/>
    <x v="0"/>
    <n v="540"/>
    <n v="0"/>
    <n v="540"/>
  </r>
  <r>
    <s v="ORD10135"/>
    <x v="25"/>
    <s v="Meera Jain"/>
    <x v="2"/>
    <s v="Lucknow"/>
    <x v="0"/>
    <x v="2"/>
    <x v="14"/>
    <n v="7"/>
    <n v="350"/>
    <n v="20"/>
    <x v="1"/>
    <x v="1"/>
    <n v="2450"/>
    <n v="490"/>
    <n v="1960"/>
  </r>
  <r>
    <s v="ORD10136"/>
    <x v="108"/>
    <s v="Isha Jain"/>
    <x v="0"/>
    <s v="Noida"/>
    <x v="0"/>
    <x v="2"/>
    <x v="11"/>
    <n v="2"/>
    <n v="250"/>
    <n v="10"/>
    <x v="1"/>
    <x v="0"/>
    <n v="500"/>
    <n v="50"/>
    <n v="450"/>
  </r>
  <r>
    <s v="ORD10137"/>
    <x v="109"/>
    <s v="Vikas Bhardwaj"/>
    <x v="1"/>
    <s v="Mumbai"/>
    <x v="1"/>
    <x v="0"/>
    <x v="13"/>
    <n v="1"/>
    <n v="7500"/>
    <n v="5"/>
    <x v="1"/>
    <x v="2"/>
    <n v="7500"/>
    <n v="375"/>
    <n v="7125"/>
  </r>
  <r>
    <s v="ORD10138"/>
    <x v="110"/>
    <s v="Rahul Kumar"/>
    <x v="0"/>
    <s v="Noida"/>
    <x v="0"/>
    <x v="1"/>
    <x v="8"/>
    <n v="7"/>
    <n v="12500"/>
    <n v="5"/>
    <x v="4"/>
    <x v="3"/>
    <n v="87500"/>
    <n v="4375"/>
    <n v="83125"/>
  </r>
  <r>
    <s v="ORD10139"/>
    <x v="111"/>
    <s v="Aarav Jain"/>
    <x v="1"/>
    <s v="Noida"/>
    <x v="0"/>
    <x v="2"/>
    <x v="14"/>
    <n v="1"/>
    <n v="350"/>
    <n v="15"/>
    <x v="1"/>
    <x v="3"/>
    <n v="350"/>
    <n v="52.5"/>
    <n v="297.5"/>
  </r>
  <r>
    <s v="ORD10140"/>
    <x v="112"/>
    <s v="Arjun Kumar"/>
    <x v="1"/>
    <s v="Bengaluru"/>
    <x v="3"/>
    <x v="2"/>
    <x v="14"/>
    <n v="7"/>
    <n v="350"/>
    <n v="10"/>
    <x v="1"/>
    <x v="1"/>
    <n v="2450"/>
    <n v="245"/>
    <n v="2205"/>
  </r>
  <r>
    <s v="ORD10141"/>
    <x v="113"/>
    <s v="Arjun Bhardwaj"/>
    <x v="2"/>
    <s v="Bhubaneswar"/>
    <x v="2"/>
    <x v="0"/>
    <x v="0"/>
    <n v="2"/>
    <n v="6500"/>
    <n v="15"/>
    <x v="0"/>
    <x v="5"/>
    <n v="13000"/>
    <n v="1950"/>
    <n v="11050"/>
  </r>
  <r>
    <s v="ORD10142"/>
    <x v="114"/>
    <s v="Priya Gupta"/>
    <x v="1"/>
    <s v="Noida"/>
    <x v="0"/>
    <x v="2"/>
    <x v="15"/>
    <n v="6"/>
    <n v="90"/>
    <n v="5"/>
    <x v="0"/>
    <x v="4"/>
    <n v="540"/>
    <n v="27"/>
    <n v="513"/>
  </r>
  <r>
    <s v="ORD10143"/>
    <x v="103"/>
    <s v="Rahul Bhardwaj"/>
    <x v="1"/>
    <s v="Ahmedabad"/>
    <x v="1"/>
    <x v="0"/>
    <x v="5"/>
    <n v="6"/>
    <n v="9000"/>
    <n v="10"/>
    <x v="4"/>
    <x v="2"/>
    <n v="54000"/>
    <n v="5400"/>
    <n v="48600"/>
  </r>
  <r>
    <s v="ORD10144"/>
    <x v="72"/>
    <s v="Kavya Jain"/>
    <x v="0"/>
    <s v="Ghaziabad"/>
    <x v="0"/>
    <x v="0"/>
    <x v="5"/>
    <n v="2"/>
    <n v="9000"/>
    <n v="5"/>
    <x v="0"/>
    <x v="5"/>
    <n v="18000"/>
    <n v="900"/>
    <n v="17100"/>
  </r>
  <r>
    <s v="ORD10145"/>
    <x v="15"/>
    <s v="Aditya Jain"/>
    <x v="2"/>
    <s v="Bhubaneswar"/>
    <x v="2"/>
    <x v="0"/>
    <x v="0"/>
    <n v="3"/>
    <n v="6500"/>
    <n v="20"/>
    <x v="1"/>
    <x v="2"/>
    <n v="19500"/>
    <n v="3900"/>
    <n v="15600"/>
  </r>
  <r>
    <s v="ORD10146"/>
    <x v="115"/>
    <s v="Pooja Sharma"/>
    <x v="1"/>
    <s v="Chandigarh"/>
    <x v="0"/>
    <x v="0"/>
    <x v="13"/>
    <n v="5"/>
    <n v="7500"/>
    <n v="20"/>
    <x v="1"/>
    <x v="2"/>
    <n v="37500"/>
    <n v="7500"/>
    <n v="30000"/>
  </r>
  <r>
    <s v="ORD10147"/>
    <x v="116"/>
    <s v="Isha Agarwal"/>
    <x v="0"/>
    <s v="Hyderabad"/>
    <x v="3"/>
    <x v="1"/>
    <x v="12"/>
    <n v="7"/>
    <n v="1800"/>
    <n v="20"/>
    <x v="3"/>
    <x v="5"/>
    <n v="12600"/>
    <n v="2520"/>
    <n v="10080"/>
  </r>
  <r>
    <s v="ORD10148"/>
    <x v="117"/>
    <s v="Pooja Verma"/>
    <x v="2"/>
    <s v="Chandigarh"/>
    <x v="0"/>
    <x v="0"/>
    <x v="7"/>
    <n v="3"/>
    <n v="8200"/>
    <n v="0"/>
    <x v="3"/>
    <x v="3"/>
    <n v="24600"/>
    <n v="0"/>
    <n v="24600"/>
  </r>
  <r>
    <s v="ORD10149"/>
    <x v="118"/>
    <s v="Riya Agarwal"/>
    <x v="0"/>
    <s v="Delhi"/>
    <x v="0"/>
    <x v="1"/>
    <x v="16"/>
    <n v="8"/>
    <n v="2200"/>
    <n v="20"/>
    <x v="4"/>
    <x v="2"/>
    <n v="17600"/>
    <n v="3520"/>
    <n v="14080"/>
  </r>
  <r>
    <s v="ORD10150"/>
    <x v="119"/>
    <s v="Meera Sharma"/>
    <x v="0"/>
    <s v="Patna"/>
    <x v="2"/>
    <x v="2"/>
    <x v="11"/>
    <n v="7"/>
    <n v="250"/>
    <n v="10"/>
    <x v="1"/>
    <x v="0"/>
    <n v="1750"/>
    <n v="175"/>
    <n v="1575"/>
  </r>
  <r>
    <s v="ORD10151"/>
    <x v="36"/>
    <m/>
    <x v="2"/>
    <s v="Noida"/>
    <x v="0"/>
    <x v="0"/>
    <x v="7"/>
    <n v="5"/>
    <n v="8200"/>
    <n v="10"/>
    <x v="3"/>
    <x v="3"/>
    <n v="41000"/>
    <n v="4100"/>
    <n v="36900"/>
  </r>
  <r>
    <s v="ORD10152"/>
    <x v="120"/>
    <s v="Meera Verma"/>
    <x v="2"/>
    <s v="Patna"/>
    <x v="2"/>
    <x v="2"/>
    <x v="15"/>
    <n v="7"/>
    <n v="90"/>
    <n v="5"/>
    <x v="0"/>
    <x v="5"/>
    <n v="630"/>
    <n v="31.5"/>
    <n v="598.5"/>
  </r>
  <r>
    <s v="ORD10153"/>
    <x v="36"/>
    <s v="Riya Yadav"/>
    <x v="1"/>
    <s v="Bhubaneswar"/>
    <x v="2"/>
    <x v="1"/>
    <x v="16"/>
    <n v="2"/>
    <n v="2200"/>
    <n v="15"/>
    <x v="1"/>
    <x v="2"/>
    <n v="4400"/>
    <n v="660"/>
    <n v="3740"/>
  </r>
  <r>
    <s v="ORD10154"/>
    <x v="121"/>
    <s v="Rahul Gupta"/>
    <x v="1"/>
    <s v="Jaipur"/>
    <x v="1"/>
    <x v="2"/>
    <x v="11"/>
    <n v="4"/>
    <n v="250"/>
    <n v="5"/>
    <x v="1"/>
    <x v="0"/>
    <n v="1000"/>
    <n v="50"/>
    <n v="950"/>
  </r>
  <r>
    <s v="ORD10155"/>
    <x v="59"/>
    <s v="Meera Gupta"/>
    <x v="0"/>
    <s v="Kolkata"/>
    <x v="2"/>
    <x v="0"/>
    <x v="9"/>
    <n v="1"/>
    <n v="1600"/>
    <n v="10"/>
    <x v="2"/>
    <x v="1"/>
    <n v="1600"/>
    <n v="160"/>
    <n v="1440"/>
  </r>
  <r>
    <s v="ORD10156"/>
    <x v="122"/>
    <s v="Vivaan Kumar"/>
    <x v="2"/>
    <s v="Ghaziabad"/>
    <x v="0"/>
    <x v="0"/>
    <x v="9"/>
    <n v="3"/>
    <n v="1600"/>
    <n v="20"/>
    <x v="4"/>
    <x v="5"/>
    <n v="4800"/>
    <n v="960"/>
    <n v="3840"/>
  </r>
  <r>
    <s v="ORD10157"/>
    <x v="123"/>
    <s v="Vikas Jain"/>
    <x v="1"/>
    <s v="Kolkata"/>
    <x v="2"/>
    <x v="0"/>
    <x v="7"/>
    <n v="4"/>
    <n v="8200"/>
    <n v="5"/>
    <x v="1"/>
    <x v="4"/>
    <n v="32800"/>
    <n v="1640"/>
    <n v="31160"/>
  </r>
  <r>
    <s v="ORD10158"/>
    <x v="48"/>
    <s v="Karan Mishra"/>
    <x v="1"/>
    <s v="Pune"/>
    <x v="1"/>
    <x v="2"/>
    <x v="11"/>
    <n v="7"/>
    <n v="250"/>
    <n v="5"/>
    <x v="1"/>
    <x v="0"/>
    <n v="1750"/>
    <n v="87.5"/>
    <n v="1662.5"/>
  </r>
  <r>
    <s v="ORD10159"/>
    <x v="23"/>
    <s v="Vikas Verma"/>
    <x v="1"/>
    <s v="Bhubaneswar"/>
    <x v="2"/>
    <x v="2"/>
    <x v="2"/>
    <n v="2"/>
    <n v="420"/>
    <n v="0"/>
    <x v="1"/>
    <x v="5"/>
    <n v="840"/>
    <n v="0"/>
    <n v="840"/>
  </r>
  <r>
    <s v="ORD10160"/>
    <x v="108"/>
    <s v="Ananya Sharma"/>
    <x v="2"/>
    <s v="Ghaziabad"/>
    <x v="0"/>
    <x v="2"/>
    <x v="3"/>
    <n v="4"/>
    <n v="120"/>
    <n v="20"/>
    <x v="3"/>
    <x v="5"/>
    <n v="480"/>
    <n v="96"/>
    <n v="384"/>
  </r>
  <r>
    <s v="ORD10161"/>
    <x v="124"/>
    <s v="Nishant Sharma"/>
    <x v="2"/>
    <s v="Chandigarh"/>
    <x v="0"/>
    <x v="1"/>
    <x v="8"/>
    <n v="2"/>
    <n v="12500"/>
    <n v="10"/>
    <x v="3"/>
    <x v="4"/>
    <n v="25000"/>
    <n v="2500"/>
    <n v="22500"/>
  </r>
  <r>
    <s v="ORD10162"/>
    <x v="43"/>
    <s v="Kavya Gupta"/>
    <x v="0"/>
    <s v="Kolkata"/>
    <x v="2"/>
    <x v="1"/>
    <x v="6"/>
    <n v="1"/>
    <n v="450"/>
    <n v="10"/>
    <x v="2"/>
    <x v="5"/>
    <n v="450"/>
    <n v="45"/>
    <n v="405"/>
  </r>
  <r>
    <s v="ORD10163"/>
    <x v="45"/>
    <s v="Rahul Agarwal"/>
    <x v="0"/>
    <s v="Patna"/>
    <x v="2"/>
    <x v="1"/>
    <x v="1"/>
    <n v="5"/>
    <n v="700"/>
    <n v="5"/>
    <x v="0"/>
    <x v="3"/>
    <n v="3500"/>
    <n v="175"/>
    <n v="3325"/>
  </r>
  <r>
    <s v="ORD10164"/>
    <x v="1"/>
    <s v="Vivaan Bhardwaj"/>
    <x v="2"/>
    <s v="Noida"/>
    <x v="0"/>
    <x v="2"/>
    <x v="4"/>
    <n v="5"/>
    <n v="180"/>
    <n v="0"/>
    <x v="0"/>
    <x v="5"/>
    <n v="900"/>
    <n v="0"/>
    <n v="900"/>
  </r>
  <r>
    <s v="ORD10165"/>
    <x v="125"/>
    <s v="Rahul Singh"/>
    <x v="2"/>
    <s v="Noida"/>
    <x v="0"/>
    <x v="2"/>
    <x v="2"/>
    <n v="1"/>
    <n v="420"/>
    <n v="5"/>
    <x v="3"/>
    <x v="3"/>
    <n v="420"/>
    <n v="21"/>
    <n v="399"/>
  </r>
  <r>
    <s v="ORD10166"/>
    <x v="126"/>
    <s v="Riya Yadav"/>
    <x v="1"/>
    <s v="Jaipur"/>
    <x v="1"/>
    <x v="0"/>
    <x v="7"/>
    <n v="3"/>
    <n v="8200"/>
    <n v="0"/>
    <x v="0"/>
    <x v="3"/>
    <n v="24600"/>
    <n v="0"/>
    <n v="24600"/>
  </r>
  <r>
    <s v="ORD10167"/>
    <x v="59"/>
    <s v="Kavya Sharma"/>
    <x v="0"/>
    <s v="Kolkata"/>
    <x v="2"/>
    <x v="0"/>
    <x v="9"/>
    <n v="1"/>
    <n v="1600"/>
    <n v="15"/>
    <x v="2"/>
    <x v="2"/>
    <n v="1600"/>
    <n v="240"/>
    <n v="1360"/>
  </r>
  <r>
    <s v="ORD10168"/>
    <x v="127"/>
    <s v="Nishant Verma"/>
    <x v="0"/>
    <s v="Chennai"/>
    <x v="3"/>
    <x v="1"/>
    <x v="10"/>
    <n v="2"/>
    <n v="1200"/>
    <n v="10"/>
    <x v="1"/>
    <x v="1"/>
    <n v="2400"/>
    <n v="240"/>
    <n v="2160"/>
  </r>
  <r>
    <s v="ORD10169"/>
    <x v="4"/>
    <s v="Kavya Gupta"/>
    <x v="1"/>
    <s v="Chandigarh"/>
    <x v="0"/>
    <x v="0"/>
    <x v="0"/>
    <n v="3"/>
    <n v="6500"/>
    <n v="20"/>
    <x v="3"/>
    <x v="4"/>
    <n v="19500"/>
    <n v="3900"/>
    <n v="15600"/>
  </r>
  <r>
    <s v="ORD10170"/>
    <x v="128"/>
    <s v="Vivaan Yadav"/>
    <x v="2"/>
    <s v="Delhi"/>
    <x v="0"/>
    <x v="2"/>
    <x v="4"/>
    <n v="1"/>
    <n v="180"/>
    <n v="5"/>
    <x v="0"/>
    <x v="5"/>
    <n v="180"/>
    <n v="9"/>
    <n v="171"/>
  </r>
  <r>
    <s v="ORD10171"/>
    <x v="83"/>
    <s v="Ananya Sharma"/>
    <x v="0"/>
    <s v="Lucknow"/>
    <x v="0"/>
    <x v="1"/>
    <x v="16"/>
    <n v="4"/>
    <n v="2200"/>
    <n v="10"/>
    <x v="1"/>
    <x v="2"/>
    <n v="8800"/>
    <n v="880"/>
    <n v="7920"/>
  </r>
  <r>
    <s v="ORD10172"/>
    <x v="93"/>
    <s v="Neha Yadav"/>
    <x v="1"/>
    <s v="Kolkata"/>
    <x v="2"/>
    <x v="2"/>
    <x v="11"/>
    <n v="7"/>
    <n v="250"/>
    <n v="20"/>
    <x v="2"/>
    <x v="4"/>
    <n v="1750"/>
    <n v="350"/>
    <n v="1400"/>
  </r>
  <r>
    <s v="ORD10173"/>
    <x v="129"/>
    <s v="Aditya Kumar"/>
    <x v="0"/>
    <s v="Chandigarh"/>
    <x v="0"/>
    <x v="0"/>
    <x v="0"/>
    <n v="2"/>
    <n v="6500"/>
    <n v="15"/>
    <x v="4"/>
    <x v="3"/>
    <n v="13000"/>
    <n v="1950"/>
    <n v="11050"/>
  </r>
  <r>
    <s v="ORD10174"/>
    <x v="13"/>
    <s v="Vikas Jain"/>
    <x v="0"/>
    <s v="Chandigarh"/>
    <x v="0"/>
    <x v="1"/>
    <x v="1"/>
    <n v="6"/>
    <n v="700"/>
    <n v="10"/>
    <x v="2"/>
    <x v="1"/>
    <n v="4200"/>
    <n v="420"/>
    <n v="3780"/>
  </r>
  <r>
    <s v="ORD10175"/>
    <x v="102"/>
    <s v="Aman Sharma"/>
    <x v="1"/>
    <s v="Chandigarh"/>
    <x v="0"/>
    <x v="2"/>
    <x v="3"/>
    <n v="6"/>
    <n v="120"/>
    <n v="15"/>
    <x v="2"/>
    <x v="2"/>
    <n v="720"/>
    <n v="108"/>
    <n v="612"/>
  </r>
  <r>
    <s v="ORD10176"/>
    <x v="108"/>
    <s v="Meera Jain"/>
    <x v="1"/>
    <s v="Kolkata"/>
    <x v="2"/>
    <x v="0"/>
    <x v="5"/>
    <n v="1"/>
    <n v="9000"/>
    <n v="5"/>
    <x v="4"/>
    <x v="0"/>
    <n v="9000"/>
    <n v="450"/>
    <n v="8550"/>
  </r>
  <r>
    <s v="ORD10177"/>
    <x v="130"/>
    <s v="Isha Sharma"/>
    <x v="0"/>
    <s v="Kolkata"/>
    <x v="2"/>
    <x v="0"/>
    <x v="0"/>
    <n v="6"/>
    <n v="6500"/>
    <n v="15"/>
    <x v="4"/>
    <x v="4"/>
    <n v="39000"/>
    <n v="5850"/>
    <n v="33150"/>
  </r>
  <r>
    <s v="ORD10178"/>
    <x v="131"/>
    <s v="Riya Yadav"/>
    <x v="2"/>
    <s v="Chandigarh"/>
    <x v="0"/>
    <x v="2"/>
    <x v="11"/>
    <n v="2"/>
    <n v="250"/>
    <n v="5"/>
    <x v="1"/>
    <x v="4"/>
    <n v="500"/>
    <n v="25"/>
    <n v="475"/>
  </r>
  <r>
    <s v="ORD10179"/>
    <x v="132"/>
    <s v="Riya Kumar"/>
    <x v="0"/>
    <s v="Jaipur"/>
    <x v="1"/>
    <x v="1"/>
    <x v="1"/>
    <n v="3"/>
    <n v="700"/>
    <n v="20"/>
    <x v="3"/>
    <x v="2"/>
    <n v="2100"/>
    <n v="420"/>
    <n v="1680"/>
  </r>
  <r>
    <s v="ORD10180"/>
    <x v="133"/>
    <s v="Karan Verma"/>
    <x v="1"/>
    <s v="Chennai"/>
    <x v="3"/>
    <x v="2"/>
    <x v="4"/>
    <n v="5"/>
    <n v="180"/>
    <n v="20"/>
    <x v="3"/>
    <x v="5"/>
    <n v="900"/>
    <n v="180"/>
    <n v="720"/>
  </r>
  <r>
    <s v="ORD10181"/>
    <x v="118"/>
    <s v="Ananya Verma"/>
    <x v="0"/>
    <s v="Patna"/>
    <x v="2"/>
    <x v="0"/>
    <x v="7"/>
    <n v="2"/>
    <n v="8200"/>
    <n v="10"/>
    <x v="0"/>
    <x v="2"/>
    <n v="16400"/>
    <n v="1640"/>
    <n v="14760"/>
  </r>
  <r>
    <s v="ORD10182"/>
    <x v="134"/>
    <s v="Riya Bhardwaj"/>
    <x v="1"/>
    <s v="Bhubaneswar"/>
    <x v="2"/>
    <x v="1"/>
    <x v="16"/>
    <n v="3"/>
    <n v="2200"/>
    <n v="10"/>
    <x v="4"/>
    <x v="1"/>
    <n v="6600"/>
    <n v="660"/>
    <n v="5940"/>
  </r>
  <r>
    <s v="ORD10183"/>
    <x v="135"/>
    <s v="Pooja Agarwal"/>
    <x v="1"/>
    <s v="Kolkata"/>
    <x v="2"/>
    <x v="2"/>
    <x v="3"/>
    <n v="6"/>
    <n v="120"/>
    <n v="10"/>
    <x v="0"/>
    <x v="0"/>
    <n v="720"/>
    <n v="72"/>
    <n v="648"/>
  </r>
  <r>
    <s v="ORD10184"/>
    <x v="136"/>
    <s v="Sneha Mishra"/>
    <x v="1"/>
    <s v="Lucknow"/>
    <x v="0"/>
    <x v="2"/>
    <x v="14"/>
    <n v="8"/>
    <n v="350"/>
    <n v="15"/>
    <x v="4"/>
    <x v="2"/>
    <n v="2800"/>
    <n v="420"/>
    <n v="2380"/>
  </r>
  <r>
    <s v="ORD10185"/>
    <x v="137"/>
    <s v="Simran Mishra"/>
    <x v="1"/>
    <s v="Pune"/>
    <x v="1"/>
    <x v="2"/>
    <x v="14"/>
    <n v="6"/>
    <n v="350"/>
    <n v="5"/>
    <x v="4"/>
    <x v="5"/>
    <n v="2100"/>
    <n v="105"/>
    <n v="1995"/>
  </r>
  <r>
    <s v="ORD10186"/>
    <x v="124"/>
    <s v="Rohit Gupta"/>
    <x v="2"/>
    <s v="Patna"/>
    <x v="2"/>
    <x v="1"/>
    <x v="1"/>
    <n v="3"/>
    <n v="700"/>
    <n v="10"/>
    <x v="4"/>
    <x v="2"/>
    <n v="2100"/>
    <n v="210"/>
    <n v="1890"/>
  </r>
  <r>
    <s v="ORD10187"/>
    <x v="138"/>
    <s v="Simran Singh"/>
    <x v="1"/>
    <s v="Patna"/>
    <x v="2"/>
    <x v="2"/>
    <x v="3"/>
    <n v="5"/>
    <n v="120"/>
    <n v="5"/>
    <x v="1"/>
    <x v="3"/>
    <n v="600"/>
    <n v="30"/>
    <n v="570"/>
  </r>
  <r>
    <s v="ORD10188"/>
    <x v="79"/>
    <s v="Meera Mishra"/>
    <x v="2"/>
    <s v="Ahmedabad"/>
    <x v="1"/>
    <x v="0"/>
    <x v="5"/>
    <n v="3"/>
    <n v="9000"/>
    <n v="5"/>
    <x v="0"/>
    <x v="0"/>
    <n v="27000"/>
    <n v="1350"/>
    <n v="25650"/>
  </r>
  <r>
    <s v="ORD10189"/>
    <x v="52"/>
    <s v="Isha Kumar"/>
    <x v="0"/>
    <s v="Noida"/>
    <x v="0"/>
    <x v="1"/>
    <x v="16"/>
    <n v="5"/>
    <n v="2200"/>
    <n v="5"/>
    <x v="3"/>
    <x v="5"/>
    <n v="11000"/>
    <n v="550"/>
    <n v="10450"/>
  </r>
  <r>
    <s v="ORD10190"/>
    <x v="139"/>
    <s v="Vikas Jain"/>
    <x v="1"/>
    <s v="Hyderabad"/>
    <x v="3"/>
    <x v="2"/>
    <x v="11"/>
    <n v="4"/>
    <n v="250"/>
    <n v="15"/>
    <x v="3"/>
    <x v="6"/>
    <n v="1000"/>
    <n v="150"/>
    <n v="850"/>
  </r>
  <r>
    <s v="ORD10191"/>
    <x v="48"/>
    <s v="Meera Gupta"/>
    <x v="2"/>
    <s v="Mumbai"/>
    <x v="1"/>
    <x v="2"/>
    <x v="11"/>
    <n v="4"/>
    <n v="250"/>
    <n v="10"/>
    <x v="1"/>
    <x v="4"/>
    <n v="1000"/>
    <n v="100"/>
    <n v="900"/>
  </r>
  <r>
    <s v="ORD10192"/>
    <x v="87"/>
    <s v="Nishant Jain"/>
    <x v="1"/>
    <s v="Mumbai"/>
    <x v="1"/>
    <x v="1"/>
    <x v="10"/>
    <n v="2"/>
    <n v="1200"/>
    <n v="10"/>
    <x v="1"/>
    <x v="5"/>
    <n v="2400"/>
    <n v="240"/>
    <n v="2160"/>
  </r>
  <r>
    <s v="ORD10193"/>
    <x v="17"/>
    <s v="Meera Kumar"/>
    <x v="1"/>
    <s v="Ghaziabad"/>
    <x v="0"/>
    <x v="1"/>
    <x v="1"/>
    <n v="5"/>
    <n v="700"/>
    <n v="15"/>
    <x v="4"/>
    <x v="2"/>
    <n v="3500"/>
    <n v="525"/>
    <n v="2975"/>
  </r>
  <r>
    <s v="ORD10194"/>
    <x v="140"/>
    <s v="Vikas Jain"/>
    <x v="1"/>
    <s v="Jaipur"/>
    <x v="1"/>
    <x v="1"/>
    <x v="8"/>
    <n v="8"/>
    <n v="12500"/>
    <n v="20"/>
    <x v="3"/>
    <x v="5"/>
    <n v="100000"/>
    <n v="20000"/>
    <n v="80000"/>
  </r>
  <r>
    <s v="ORD10195"/>
    <x v="141"/>
    <s v="Vivaan Singh"/>
    <x v="2"/>
    <s v="Pune"/>
    <x v="1"/>
    <x v="1"/>
    <x v="6"/>
    <n v="6"/>
    <n v="450"/>
    <n v="0"/>
    <x v="0"/>
    <x v="4"/>
    <n v="2700"/>
    <n v="0"/>
    <n v="2700"/>
  </r>
  <r>
    <s v="ORD10196"/>
    <x v="55"/>
    <s v="Rahul Singh"/>
    <x v="0"/>
    <s v="Lucknow"/>
    <x v="0"/>
    <x v="0"/>
    <x v="13"/>
    <n v="2"/>
    <n v="7500"/>
    <n v="15"/>
    <x v="1"/>
    <x v="5"/>
    <n v="15000"/>
    <n v="2250"/>
    <n v="12750"/>
  </r>
  <r>
    <s v="ORD10197"/>
    <x v="92"/>
    <s v="Simran Singh"/>
    <x v="1"/>
    <s v="Delhi"/>
    <x v="0"/>
    <x v="2"/>
    <x v="3"/>
    <n v="4"/>
    <n v="120"/>
    <n v="10"/>
    <x v="2"/>
    <x v="3"/>
    <n v="480"/>
    <n v="48"/>
    <n v="432"/>
  </r>
  <r>
    <s v="ORD10198"/>
    <x v="131"/>
    <s v="Arjun Kumar"/>
    <x v="2"/>
    <s v="Kolkata"/>
    <x v="2"/>
    <x v="0"/>
    <x v="0"/>
    <n v="2"/>
    <n v="6500"/>
    <n v="5"/>
    <x v="1"/>
    <x v="3"/>
    <n v="13000"/>
    <n v="650"/>
    <n v="12350"/>
  </r>
  <r>
    <s v="ORD10199"/>
    <x v="92"/>
    <s v="Vivaan Sharma"/>
    <x v="1"/>
    <s v="Kolkata"/>
    <x v="2"/>
    <x v="1"/>
    <x v="6"/>
    <n v="7"/>
    <n v="450"/>
    <n v="0"/>
    <x v="1"/>
    <x v="5"/>
    <n v="3150"/>
    <n v="0"/>
    <n v="3150"/>
  </r>
  <r>
    <s v="ORD10200"/>
    <x v="138"/>
    <s v="Meera Yadav"/>
    <x v="1"/>
    <s v="Pune"/>
    <x v="1"/>
    <x v="1"/>
    <x v="12"/>
    <n v="3"/>
    <n v="1800"/>
    <n v="10"/>
    <x v="2"/>
    <x v="3"/>
    <n v="5400"/>
    <n v="540"/>
    <n v="4860"/>
  </r>
  <r>
    <s v="ORD10201"/>
    <x v="134"/>
    <s v="Kavya Sharma"/>
    <x v="2"/>
    <s v="Bengaluru"/>
    <x v="3"/>
    <x v="2"/>
    <x v="2"/>
    <n v="8"/>
    <n v="420"/>
    <n v="10"/>
    <x v="1"/>
    <x v="4"/>
    <n v="3360"/>
    <n v="336"/>
    <n v="3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2B5AED-BF59-4C0A-B91B-853C2711F316}" name="PivotTable7"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11:I22" firstHeaderRow="1" firstDataRow="1" firstDataCol="1"/>
  <pivotFields count="18">
    <pivotField showAll="0"/>
    <pivotField numFmtId="164" showAll="0">
      <items count="143">
        <item x="45"/>
        <item x="51"/>
        <item x="89"/>
        <item x="94"/>
        <item x="52"/>
        <item x="26"/>
        <item x="4"/>
        <item x="11"/>
        <item x="30"/>
        <item x="115"/>
        <item x="18"/>
        <item x="24"/>
        <item x="125"/>
        <item x="136"/>
        <item x="98"/>
        <item x="137"/>
        <item x="22"/>
        <item x="116"/>
        <item x="25"/>
        <item x="16"/>
        <item x="79"/>
        <item x="85"/>
        <item x="27"/>
        <item x="33"/>
        <item x="105"/>
        <item x="88"/>
        <item x="0"/>
        <item x="103"/>
        <item x="38"/>
        <item x="64"/>
        <item x="46"/>
        <item x="93"/>
        <item x="19"/>
        <item x="95"/>
        <item x="120"/>
        <item x="99"/>
        <item x="32"/>
        <item x="49"/>
        <item x="60"/>
        <item x="29"/>
        <item x="28"/>
        <item x="47"/>
        <item x="122"/>
        <item x="7"/>
        <item x="118"/>
        <item x="41"/>
        <item x="37"/>
        <item x="121"/>
        <item x="117"/>
        <item x="90"/>
        <item x="5"/>
        <item x="39"/>
        <item x="72"/>
        <item x="97"/>
        <item x="3"/>
        <item x="56"/>
        <item x="109"/>
        <item x="35"/>
        <item x="130"/>
        <item x="135"/>
        <item x="70"/>
        <item x="62"/>
        <item x="58"/>
        <item x="17"/>
        <item x="21"/>
        <item x="127"/>
        <item x="86"/>
        <item x="133"/>
        <item x="10"/>
        <item x="106"/>
        <item x="66"/>
        <item x="81"/>
        <item x="132"/>
        <item x="61"/>
        <item x="65"/>
        <item x="123"/>
        <item x="139"/>
        <item x="71"/>
        <item x="13"/>
        <item x="14"/>
        <item x="134"/>
        <item x="69"/>
        <item x="73"/>
        <item x="57"/>
        <item x="140"/>
        <item x="9"/>
        <item x="42"/>
        <item x="15"/>
        <item x="8"/>
        <item x="110"/>
        <item x="36"/>
        <item x="63"/>
        <item x="34"/>
        <item x="43"/>
        <item x="107"/>
        <item x="87"/>
        <item x="126"/>
        <item x="111"/>
        <item x="91"/>
        <item x="92"/>
        <item x="96"/>
        <item x="119"/>
        <item x="54"/>
        <item x="53"/>
        <item x="104"/>
        <item x="75"/>
        <item x="74"/>
        <item x="40"/>
        <item x="68"/>
        <item x="2"/>
        <item x="1"/>
        <item x="112"/>
        <item x="20"/>
        <item x="48"/>
        <item x="31"/>
        <item x="102"/>
        <item x="100"/>
        <item x="131"/>
        <item x="6"/>
        <item x="128"/>
        <item x="113"/>
        <item x="50"/>
        <item x="12"/>
        <item x="55"/>
        <item x="83"/>
        <item x="44"/>
        <item x="23"/>
        <item x="80"/>
        <item x="78"/>
        <item x="84"/>
        <item x="82"/>
        <item x="67"/>
        <item x="129"/>
        <item x="77"/>
        <item x="124"/>
        <item x="141"/>
        <item x="59"/>
        <item x="108"/>
        <item x="76"/>
        <item x="138"/>
        <item x="101"/>
        <item x="114"/>
        <item t="default"/>
      </items>
    </pivotField>
    <pivotField showAll="0"/>
    <pivotField showAll="0">
      <items count="4">
        <item x="1"/>
        <item x="2"/>
        <item x="0"/>
        <item t="default"/>
      </items>
    </pivotField>
    <pivotField showAll="0"/>
    <pivotField showAll="0">
      <items count="5">
        <item x="2"/>
        <item x="0"/>
        <item x="3"/>
        <item x="1"/>
        <item t="default"/>
      </items>
    </pivotField>
    <pivotField showAll="0">
      <items count="4">
        <item x="1"/>
        <item x="0"/>
        <item x="2"/>
        <item t="default"/>
      </items>
    </pivotField>
    <pivotField axis="axisRow" showAll="0" measureFilter="1">
      <items count="18">
        <item x="0"/>
        <item x="9"/>
        <item x="14"/>
        <item x="15"/>
        <item x="7"/>
        <item x="10"/>
        <item x="1"/>
        <item x="12"/>
        <item x="8"/>
        <item x="6"/>
        <item x="3"/>
        <item x="13"/>
        <item x="4"/>
        <item x="2"/>
        <item x="11"/>
        <item x="5"/>
        <item x="16"/>
        <item t="default"/>
      </items>
    </pivotField>
    <pivotField showAll="0"/>
    <pivotField showAll="0"/>
    <pivotField showAll="0"/>
    <pivotField showAll="0">
      <items count="7">
        <item x="2"/>
        <item x="4"/>
        <item x="1"/>
        <item x="0"/>
        <item x="3"/>
        <item x="5"/>
        <item t="default"/>
      </items>
    </pivotField>
    <pivotField showAll="0">
      <items count="8">
        <item x="0"/>
        <item x="3"/>
        <item x="5"/>
        <item x="4"/>
        <item x="1"/>
        <item x="2"/>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11">
    <i>
      <x/>
    </i>
    <i>
      <x v="1"/>
    </i>
    <i>
      <x v="4"/>
    </i>
    <i>
      <x v="5"/>
    </i>
    <i>
      <x v="6"/>
    </i>
    <i>
      <x v="7"/>
    </i>
    <i>
      <x v="8"/>
    </i>
    <i>
      <x v="11"/>
    </i>
    <i>
      <x v="15"/>
    </i>
    <i>
      <x v="16"/>
    </i>
    <i t="grand">
      <x/>
    </i>
  </rowItems>
  <colItems count="1">
    <i/>
  </colItems>
  <dataFields count="1">
    <dataField name="Top 10 products" fld="1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F44FED-BB2F-4712-A101-9E686B42F6AA}" name="PivotTable6"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11:F21" firstHeaderRow="1" firstDataRow="1" firstDataCol="1"/>
  <pivotFields count="18">
    <pivotField showAll="0"/>
    <pivotField numFmtId="164" showAll="0">
      <items count="143">
        <item x="45"/>
        <item x="51"/>
        <item x="89"/>
        <item x="94"/>
        <item x="52"/>
        <item x="26"/>
        <item x="4"/>
        <item x="11"/>
        <item x="30"/>
        <item x="115"/>
        <item x="18"/>
        <item x="24"/>
        <item x="125"/>
        <item x="136"/>
        <item x="98"/>
        <item x="137"/>
        <item x="22"/>
        <item x="116"/>
        <item x="25"/>
        <item x="16"/>
        <item x="79"/>
        <item x="85"/>
        <item x="27"/>
        <item x="33"/>
        <item x="105"/>
        <item x="88"/>
        <item x="0"/>
        <item x="103"/>
        <item x="38"/>
        <item x="64"/>
        <item x="46"/>
        <item x="93"/>
        <item x="19"/>
        <item x="95"/>
        <item x="120"/>
        <item x="99"/>
        <item x="32"/>
        <item x="49"/>
        <item x="60"/>
        <item x="29"/>
        <item x="28"/>
        <item x="47"/>
        <item x="122"/>
        <item x="7"/>
        <item x="118"/>
        <item x="41"/>
        <item x="37"/>
        <item x="121"/>
        <item x="117"/>
        <item x="90"/>
        <item x="5"/>
        <item x="39"/>
        <item x="72"/>
        <item x="97"/>
        <item x="3"/>
        <item x="56"/>
        <item x="109"/>
        <item x="35"/>
        <item x="130"/>
        <item x="135"/>
        <item x="70"/>
        <item x="62"/>
        <item x="58"/>
        <item x="17"/>
        <item x="21"/>
        <item x="127"/>
        <item x="86"/>
        <item x="133"/>
        <item x="10"/>
        <item x="106"/>
        <item x="66"/>
        <item x="81"/>
        <item x="132"/>
        <item x="61"/>
        <item x="65"/>
        <item x="123"/>
        <item x="139"/>
        <item x="71"/>
        <item x="13"/>
        <item x="14"/>
        <item x="134"/>
        <item x="69"/>
        <item x="73"/>
        <item x="57"/>
        <item x="140"/>
        <item x="9"/>
        <item x="42"/>
        <item x="15"/>
        <item x="8"/>
        <item x="110"/>
        <item x="36"/>
        <item x="63"/>
        <item x="34"/>
        <item x="43"/>
        <item x="107"/>
        <item x="87"/>
        <item x="126"/>
        <item x="111"/>
        <item x="91"/>
        <item x="92"/>
        <item x="96"/>
        <item x="119"/>
        <item x="54"/>
        <item x="53"/>
        <item x="104"/>
        <item x="75"/>
        <item x="74"/>
        <item x="40"/>
        <item x="68"/>
        <item x="2"/>
        <item x="1"/>
        <item x="112"/>
        <item x="20"/>
        <item x="48"/>
        <item x="31"/>
        <item x="102"/>
        <item x="100"/>
        <item x="131"/>
        <item x="6"/>
        <item x="128"/>
        <item x="113"/>
        <item x="50"/>
        <item x="12"/>
        <item x="55"/>
        <item x="83"/>
        <item x="44"/>
        <item x="23"/>
        <item x="80"/>
        <item x="78"/>
        <item x="84"/>
        <item x="82"/>
        <item x="67"/>
        <item x="129"/>
        <item x="77"/>
        <item x="124"/>
        <item x="141"/>
        <item x="59"/>
        <item x="108"/>
        <item x="76"/>
        <item x="138"/>
        <item x="101"/>
        <item x="114"/>
        <item t="default"/>
      </items>
    </pivotField>
    <pivotField showAll="0"/>
    <pivotField showAll="0">
      <items count="4">
        <item x="1"/>
        <item x="2"/>
        <item x="0"/>
        <item t="default"/>
      </items>
    </pivotField>
    <pivotField showAll="0"/>
    <pivotField showAll="0">
      <items count="5">
        <item x="2"/>
        <item x="0"/>
        <item x="3"/>
        <item x="1"/>
        <item t="default"/>
      </items>
    </pivotField>
    <pivotField showAll="0">
      <items count="4">
        <item x="1"/>
        <item x="0"/>
        <item x="2"/>
        <item t="default"/>
      </items>
    </pivotField>
    <pivotField showAll="0"/>
    <pivotField showAll="0"/>
    <pivotField showAll="0"/>
    <pivotField showAll="0"/>
    <pivotField showAll="0">
      <items count="7">
        <item x="2"/>
        <item x="4"/>
        <item x="1"/>
        <item x="0"/>
        <item x="3"/>
        <item x="5"/>
        <item t="default"/>
      </items>
    </pivotField>
    <pivotField showAll="0">
      <items count="8">
        <item x="0"/>
        <item x="3"/>
        <item x="5"/>
        <item x="4"/>
        <item x="1"/>
        <item x="2"/>
        <item x="6"/>
        <item t="default"/>
      </items>
    </pivotField>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10">
    <i>
      <x v="1"/>
    </i>
    <i>
      <x v="2"/>
    </i>
    <i>
      <x v="3"/>
    </i>
    <i>
      <x v="4"/>
    </i>
    <i>
      <x v="5"/>
    </i>
    <i>
      <x v="6"/>
    </i>
    <i>
      <x v="7"/>
    </i>
    <i>
      <x v="8"/>
    </i>
    <i>
      <x v="9"/>
    </i>
    <i t="grand">
      <x/>
    </i>
  </rowItems>
  <colItems count="1">
    <i/>
  </colItems>
  <dataFields count="1">
    <dataField name="Sales Trend" fld="15"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125B2F-86BB-4E36-810D-BAA5A4E09141}" name="PivotTable5"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C19" firstHeaderRow="0" firstDataRow="1" firstDataCol="1"/>
  <pivotFields count="18">
    <pivotField dataField="1" showAll="0"/>
    <pivotField numFmtId="164" showAll="0">
      <items count="143">
        <item x="45"/>
        <item x="51"/>
        <item x="89"/>
        <item x="94"/>
        <item x="52"/>
        <item x="26"/>
        <item x="4"/>
        <item x="11"/>
        <item x="30"/>
        <item x="115"/>
        <item x="18"/>
        <item x="24"/>
        <item x="125"/>
        <item x="136"/>
        <item x="98"/>
        <item x="137"/>
        <item x="22"/>
        <item x="116"/>
        <item x="25"/>
        <item x="16"/>
        <item x="79"/>
        <item x="85"/>
        <item x="27"/>
        <item x="33"/>
        <item x="105"/>
        <item x="88"/>
        <item x="0"/>
        <item x="103"/>
        <item x="38"/>
        <item x="64"/>
        <item x="46"/>
        <item x="93"/>
        <item x="19"/>
        <item x="95"/>
        <item x="120"/>
        <item x="99"/>
        <item x="32"/>
        <item x="49"/>
        <item x="60"/>
        <item x="29"/>
        <item x="28"/>
        <item x="47"/>
        <item x="122"/>
        <item x="7"/>
        <item x="118"/>
        <item x="41"/>
        <item x="37"/>
        <item x="121"/>
        <item x="117"/>
        <item x="90"/>
        <item x="5"/>
        <item x="39"/>
        <item x="72"/>
        <item x="97"/>
        <item x="3"/>
        <item x="56"/>
        <item x="109"/>
        <item x="35"/>
        <item x="130"/>
        <item x="135"/>
        <item x="70"/>
        <item x="62"/>
        <item x="58"/>
        <item x="17"/>
        <item x="21"/>
        <item x="127"/>
        <item x="86"/>
        <item x="133"/>
        <item x="10"/>
        <item x="106"/>
        <item x="66"/>
        <item x="81"/>
        <item x="132"/>
        <item x="61"/>
        <item x="65"/>
        <item x="123"/>
        <item x="139"/>
        <item x="71"/>
        <item x="13"/>
        <item x="14"/>
        <item x="134"/>
        <item x="69"/>
        <item x="73"/>
        <item x="57"/>
        <item x="140"/>
        <item x="9"/>
        <item x="42"/>
        <item x="15"/>
        <item x="8"/>
        <item x="110"/>
        <item x="36"/>
        <item x="63"/>
        <item x="34"/>
        <item x="43"/>
        <item x="107"/>
        <item x="87"/>
        <item x="126"/>
        <item x="111"/>
        <item x="91"/>
        <item x="92"/>
        <item x="96"/>
        <item x="119"/>
        <item x="54"/>
        <item x="53"/>
        <item x="104"/>
        <item x="75"/>
        <item x="74"/>
        <item x="40"/>
        <item x="68"/>
        <item x="2"/>
        <item x="1"/>
        <item x="112"/>
        <item x="20"/>
        <item x="48"/>
        <item x="31"/>
        <item x="102"/>
        <item x="100"/>
        <item x="131"/>
        <item x="6"/>
        <item x="128"/>
        <item x="113"/>
        <item x="50"/>
        <item x="12"/>
        <item x="55"/>
        <item x="83"/>
        <item x="44"/>
        <item x="23"/>
        <item x="80"/>
        <item x="78"/>
        <item x="84"/>
        <item x="82"/>
        <item x="67"/>
        <item x="129"/>
        <item x="77"/>
        <item x="124"/>
        <item x="141"/>
        <item x="59"/>
        <item x="108"/>
        <item x="76"/>
        <item x="138"/>
        <item x="101"/>
        <item x="114"/>
        <item t="default"/>
      </items>
    </pivotField>
    <pivotField showAll="0"/>
    <pivotField showAll="0">
      <items count="4">
        <item x="1"/>
        <item x="2"/>
        <item x="0"/>
        <item t="default"/>
      </items>
    </pivotField>
    <pivotField showAll="0"/>
    <pivotField showAll="0">
      <items count="5">
        <item x="2"/>
        <item x="0"/>
        <item x="3"/>
        <item x="1"/>
        <item t="default"/>
      </items>
    </pivotField>
    <pivotField showAll="0">
      <items count="4">
        <item x="1"/>
        <item x="0"/>
        <item x="2"/>
        <item t="default"/>
      </items>
    </pivotField>
    <pivotField showAll="0"/>
    <pivotField showAll="0"/>
    <pivotField showAll="0"/>
    <pivotField showAll="0"/>
    <pivotField showAll="0">
      <items count="7">
        <item x="2"/>
        <item x="4"/>
        <item x="1"/>
        <item x="0"/>
        <item x="3"/>
        <item x="5"/>
        <item t="default"/>
      </items>
    </pivotField>
    <pivotField axis="axisRow" showAll="0">
      <items count="8">
        <item x="0"/>
        <item x="3"/>
        <item x="5"/>
        <item x="4"/>
        <item x="1"/>
        <item x="2"/>
        <item x="6"/>
        <item t="default"/>
      </items>
    </pivotField>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8">
    <i>
      <x/>
    </i>
    <i>
      <x v="1"/>
    </i>
    <i>
      <x v="2"/>
    </i>
    <i>
      <x v="3"/>
    </i>
    <i>
      <x v="4"/>
    </i>
    <i>
      <x v="5"/>
    </i>
    <i>
      <x v="6"/>
    </i>
    <i t="grand">
      <x/>
    </i>
  </rowItems>
  <colFields count="1">
    <field x="-2"/>
  </colFields>
  <colItems count="2">
    <i>
      <x/>
    </i>
    <i i="1">
      <x v="1"/>
    </i>
  </colItems>
  <dataFields count="2">
    <dataField name="Salesman Performance" fld="15" baseField="0" baseItem="0"/>
    <dataField name="Count of Order_ID" fld="0"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408B2E7-BB44-49D0-9316-A0C8105BB69E}"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3:H8" firstHeaderRow="0" firstDataRow="1" firstDataCol="1"/>
  <pivotFields count="18">
    <pivotField dataField="1" showAll="0"/>
    <pivotField numFmtId="164" showAll="0">
      <items count="143">
        <item x="45"/>
        <item x="51"/>
        <item x="89"/>
        <item x="94"/>
        <item x="52"/>
        <item x="26"/>
        <item x="4"/>
        <item x="11"/>
        <item x="30"/>
        <item x="115"/>
        <item x="18"/>
        <item x="24"/>
        <item x="125"/>
        <item x="136"/>
        <item x="98"/>
        <item x="137"/>
        <item x="22"/>
        <item x="116"/>
        <item x="25"/>
        <item x="16"/>
        <item x="79"/>
        <item x="85"/>
        <item x="27"/>
        <item x="33"/>
        <item x="105"/>
        <item x="88"/>
        <item x="0"/>
        <item x="103"/>
        <item x="38"/>
        <item x="64"/>
        <item x="46"/>
        <item x="93"/>
        <item x="19"/>
        <item x="95"/>
        <item x="120"/>
        <item x="99"/>
        <item x="32"/>
        <item x="49"/>
        <item x="60"/>
        <item x="29"/>
        <item x="28"/>
        <item x="47"/>
        <item x="122"/>
        <item x="7"/>
        <item x="118"/>
        <item x="41"/>
        <item x="37"/>
        <item x="121"/>
        <item x="117"/>
        <item x="90"/>
        <item x="5"/>
        <item x="39"/>
        <item x="72"/>
        <item x="97"/>
        <item x="3"/>
        <item x="56"/>
        <item x="109"/>
        <item x="35"/>
        <item x="130"/>
        <item x="135"/>
        <item x="70"/>
        <item x="62"/>
        <item x="58"/>
        <item x="17"/>
        <item x="21"/>
        <item x="127"/>
        <item x="86"/>
        <item x="133"/>
        <item x="10"/>
        <item x="106"/>
        <item x="66"/>
        <item x="81"/>
        <item x="132"/>
        <item x="61"/>
        <item x="65"/>
        <item x="123"/>
        <item x="139"/>
        <item x="71"/>
        <item x="13"/>
        <item x="14"/>
        <item x="134"/>
        <item x="69"/>
        <item x="73"/>
        <item x="57"/>
        <item x="140"/>
        <item x="9"/>
        <item x="42"/>
        <item x="15"/>
        <item x="8"/>
        <item x="110"/>
        <item x="36"/>
        <item x="63"/>
        <item x="34"/>
        <item x="43"/>
        <item x="107"/>
        <item x="87"/>
        <item x="126"/>
        <item x="111"/>
        <item x="91"/>
        <item x="92"/>
        <item x="96"/>
        <item x="119"/>
        <item x="54"/>
        <item x="53"/>
        <item x="104"/>
        <item x="75"/>
        <item x="74"/>
        <item x="40"/>
        <item x="68"/>
        <item x="2"/>
        <item x="1"/>
        <item x="112"/>
        <item x="20"/>
        <item x="48"/>
        <item x="31"/>
        <item x="102"/>
        <item x="100"/>
        <item x="131"/>
        <item x="6"/>
        <item x="128"/>
        <item x="113"/>
        <item x="50"/>
        <item x="12"/>
        <item x="55"/>
        <item x="83"/>
        <item x="44"/>
        <item x="23"/>
        <item x="80"/>
        <item x="78"/>
        <item x="84"/>
        <item x="82"/>
        <item x="67"/>
        <item x="129"/>
        <item x="77"/>
        <item x="124"/>
        <item x="141"/>
        <item x="59"/>
        <item x="108"/>
        <item x="76"/>
        <item x="138"/>
        <item x="101"/>
        <item x="114"/>
        <item t="default"/>
      </items>
    </pivotField>
    <pivotField showAll="0"/>
    <pivotField showAll="0">
      <items count="4">
        <item x="1"/>
        <item x="2"/>
        <item x="0"/>
        <item t="default"/>
      </items>
    </pivotField>
    <pivotField showAll="0"/>
    <pivotField axis="axisRow" showAll="0">
      <items count="5">
        <item x="2"/>
        <item x="0"/>
        <item x="3"/>
        <item x="1"/>
        <item t="default"/>
      </items>
    </pivotField>
    <pivotField showAll="0">
      <items count="4">
        <item x="1"/>
        <item x="0"/>
        <item x="2"/>
        <item t="default"/>
      </items>
    </pivotField>
    <pivotField showAll="0"/>
    <pivotField showAll="0"/>
    <pivotField showAll="0"/>
    <pivotField showAll="0"/>
    <pivotField showAll="0">
      <items count="7">
        <item x="2"/>
        <item x="4"/>
        <item x="1"/>
        <item x="0"/>
        <item x="3"/>
        <item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ales By Region" fld="15" baseField="0" baseItem="0"/>
    <dataField name="Count of Order_ID" fld="0" subtotal="count" baseField="0" baseItem="0"/>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7917868-292A-42F2-B921-155B09730784}"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7" firstHeaderRow="0" firstDataRow="1" firstDataCol="1"/>
  <pivotFields count="18">
    <pivotField dataField="1" showAll="0"/>
    <pivotField numFmtId="164" showAll="0">
      <items count="143">
        <item x="45"/>
        <item x="51"/>
        <item x="89"/>
        <item x="94"/>
        <item x="52"/>
        <item x="26"/>
        <item x="4"/>
        <item x="11"/>
        <item x="30"/>
        <item x="115"/>
        <item x="18"/>
        <item x="24"/>
        <item x="125"/>
        <item x="136"/>
        <item x="98"/>
        <item x="137"/>
        <item x="22"/>
        <item x="116"/>
        <item x="25"/>
        <item x="16"/>
        <item x="79"/>
        <item x="85"/>
        <item x="27"/>
        <item x="33"/>
        <item x="105"/>
        <item x="88"/>
        <item x="0"/>
        <item x="103"/>
        <item x="38"/>
        <item x="64"/>
        <item x="46"/>
        <item x="93"/>
        <item x="19"/>
        <item x="95"/>
        <item x="120"/>
        <item x="99"/>
        <item x="32"/>
        <item x="49"/>
        <item x="60"/>
        <item x="29"/>
        <item x="28"/>
        <item x="47"/>
        <item x="122"/>
        <item x="7"/>
        <item x="118"/>
        <item x="41"/>
        <item x="37"/>
        <item x="121"/>
        <item x="117"/>
        <item x="90"/>
        <item x="5"/>
        <item x="39"/>
        <item x="72"/>
        <item x="97"/>
        <item x="3"/>
        <item x="56"/>
        <item x="109"/>
        <item x="35"/>
        <item x="130"/>
        <item x="135"/>
        <item x="70"/>
        <item x="62"/>
        <item x="58"/>
        <item x="17"/>
        <item x="21"/>
        <item x="127"/>
        <item x="86"/>
        <item x="133"/>
        <item x="10"/>
        <item x="106"/>
        <item x="66"/>
        <item x="81"/>
        <item x="132"/>
        <item x="61"/>
        <item x="65"/>
        <item x="123"/>
        <item x="139"/>
        <item x="71"/>
        <item x="13"/>
        <item x="14"/>
        <item x="134"/>
        <item x="69"/>
        <item x="73"/>
        <item x="57"/>
        <item x="140"/>
        <item x="9"/>
        <item x="42"/>
        <item x="15"/>
        <item x="8"/>
        <item x="110"/>
        <item x="36"/>
        <item x="63"/>
        <item x="34"/>
        <item x="43"/>
        <item x="107"/>
        <item x="87"/>
        <item x="126"/>
        <item x="111"/>
        <item x="91"/>
        <item x="92"/>
        <item x="96"/>
        <item x="119"/>
        <item x="54"/>
        <item x="53"/>
        <item x="104"/>
        <item x="75"/>
        <item x="74"/>
        <item x="40"/>
        <item x="68"/>
        <item x="2"/>
        <item x="1"/>
        <item x="112"/>
        <item x="20"/>
        <item x="48"/>
        <item x="31"/>
        <item x="102"/>
        <item x="100"/>
        <item x="131"/>
        <item x="6"/>
        <item x="128"/>
        <item x="113"/>
        <item x="50"/>
        <item x="12"/>
        <item x="55"/>
        <item x="83"/>
        <item x="44"/>
        <item x="23"/>
        <item x="80"/>
        <item x="78"/>
        <item x="84"/>
        <item x="82"/>
        <item x="67"/>
        <item x="129"/>
        <item x="77"/>
        <item x="124"/>
        <item x="141"/>
        <item x="59"/>
        <item x="108"/>
        <item x="76"/>
        <item x="138"/>
        <item x="101"/>
        <item x="114"/>
        <item t="default"/>
      </items>
    </pivotField>
    <pivotField showAll="0"/>
    <pivotField showAll="0">
      <items count="4">
        <item x="1"/>
        <item x="2"/>
        <item x="0"/>
        <item t="default"/>
      </items>
    </pivotField>
    <pivotField showAll="0"/>
    <pivotField showAll="0">
      <items count="5">
        <item x="2"/>
        <item x="0"/>
        <item x="3"/>
        <item x="1"/>
        <item t="default"/>
      </items>
    </pivotField>
    <pivotField axis="axisRow" showAll="0">
      <items count="4">
        <item x="1"/>
        <item x="0"/>
        <item x="2"/>
        <item t="default"/>
      </items>
    </pivotField>
    <pivotField showAll="0"/>
    <pivotField dataField="1" showAll="0"/>
    <pivotField showAll="0"/>
    <pivotField showAll="0"/>
    <pivotField showAll="0">
      <items count="7">
        <item x="2"/>
        <item x="4"/>
        <item x="1"/>
        <item x="0"/>
        <item x="3"/>
        <item x="5"/>
        <item t="default"/>
      </items>
    </pivotField>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Fields count="1">
    <field x="-2"/>
  </colFields>
  <colItems count="3">
    <i>
      <x/>
    </i>
    <i i="1">
      <x v="1"/>
    </i>
    <i i="2">
      <x v="2"/>
    </i>
  </colItems>
  <dataFields count="3">
    <dataField name="Category Analysis" fld="15" baseField="0" baseItem="0"/>
    <dataField name="Sum of Quantity" fld="8" baseField="0" baseItem="0"/>
    <dataField name="Count of Order_ID" fld="0" subtotal="count" baseField="0" baseItem="0"/>
  </dataFields>
  <chartFormats count="3">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6"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C573C2B5-18B6-474F-A2F8-5FFF28DE1689}" sourceName="Payment_Mode">
  <pivotTables>
    <pivotTable tabId="5" name="PivotTable5"/>
    <pivotTable tabId="5" name="PivotTable1"/>
    <pivotTable tabId="5" name="PivotTable4"/>
    <pivotTable tabId="5" name="PivotTable6"/>
    <pivotTable tabId="5" name="PivotTable7"/>
  </pivotTables>
  <data>
    <tabular pivotCacheId="2029017141">
      <items count="6">
        <i x="2" s="1"/>
        <i x="4" s="1"/>
        <i x="1" s="1"/>
        <i x="0"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A1AE6E-AE6C-4A1D-9033-E827AB44A8B2}" sourceName="Category">
  <pivotTables>
    <pivotTable tabId="5" name="PivotTable5"/>
    <pivotTable tabId="5" name="PivotTable1"/>
    <pivotTable tabId="5" name="PivotTable4"/>
    <pivotTable tabId="5" name="PivotTable6"/>
    <pivotTable tabId="5" name="PivotTable7"/>
  </pivotTables>
  <data>
    <tabular pivotCacheId="202901714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D907298-5B7C-45F8-B7D9-8075159DC7E8}" sourceName="Region">
  <pivotTables>
    <pivotTable tabId="5" name="PivotTable5"/>
    <pivotTable tabId="5" name="PivotTable1"/>
    <pivotTable tabId="5" name="PivotTable4"/>
    <pivotTable tabId="5" name="PivotTable6"/>
    <pivotTable tabId="5" name="PivotTable7"/>
  </pivotTables>
  <data>
    <tabular pivotCacheId="2029017141">
      <items count="4">
        <i x="2" s="1"/>
        <i x="0"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984F98B8-BD59-4105-9DCA-DF972C1C039E}" sourceName="Customer_Segment">
  <pivotTables>
    <pivotTable tabId="5" name="PivotTable5"/>
    <pivotTable tabId="5" name="PivotTable1"/>
    <pivotTable tabId="5" name="PivotTable4"/>
    <pivotTable tabId="5" name="PivotTable6"/>
    <pivotTable tabId="5" name="PivotTable7"/>
  </pivotTables>
  <data>
    <tabular pivotCacheId="202901714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ode" xr10:uid="{9C1F9240-9E9F-467B-9BE8-92A07BEFB888}" cache="Slicer_Payment_Mode" caption="Payment_Mode" rowHeight="234950"/>
  <slicer name="Category" xr10:uid="{CD93063B-D428-47DE-B2FF-7D02C3E472BC}" cache="Slicer_Category" caption="Category" rowHeight="234950"/>
  <slicer name="Region" xr10:uid="{384C806D-F472-49CF-BFC2-8DFCAD7BC77F}" cache="Slicer_Region" caption="Region" rowHeight="234950"/>
  <slicer name="Customer_Segment" xr10:uid="{CEC5921E-4B9C-4476-A5F1-C23B0C82557C}"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C15436-811E-4C5A-A854-52332CC2613C}" name="Table1" displayName="Table1" ref="A1:P201" totalsRowShown="0" headerRowDxfId="3">
  <autoFilter ref="A1:P201" xr:uid="{EFC15436-811E-4C5A-A854-52332CC2613C}"/>
  <tableColumns count="16">
    <tableColumn id="1" xr3:uid="{45E83EBC-EB40-4C14-8C1A-3817DC1C0525}" name="Order_ID"/>
    <tableColumn id="2" xr3:uid="{EC95A47A-F37D-4957-ABEA-1C5882633963}" name="Order_Date" dataDxfId="4"/>
    <tableColumn id="3" xr3:uid="{375F9337-5E2D-4CD2-902F-F106B6F8920D}" name="Customer_Name"/>
    <tableColumn id="4" xr3:uid="{D504B19B-3E61-40AB-AEFB-124DE55D7F49}" name="Customer_Segment"/>
    <tableColumn id="5" xr3:uid="{C066DEE8-56D5-4854-A5EB-8C1B11CC2D1D}" name="City"/>
    <tableColumn id="6" xr3:uid="{802FEDA0-D781-4B28-B029-17446064699A}" name="Region"/>
    <tableColumn id="7" xr3:uid="{1A42F457-A695-460B-A807-C4EA74CA9119}" name="Category"/>
    <tableColumn id="8" xr3:uid="{6748438A-5A02-450D-BB49-AE04822C4F03}" name="Product"/>
    <tableColumn id="9" xr3:uid="{DBF81261-5365-4915-850B-6B0995BB86E2}" name="Quantity"/>
    <tableColumn id="10" xr3:uid="{7020593C-B8CB-4075-9286-AA80FC1466A3}" name="Unit_Price"/>
    <tableColumn id="11" xr3:uid="{11FF4EB5-265B-4006-AACF-29D05ACAFF3E}" name="Discount_Pct"/>
    <tableColumn id="12" xr3:uid="{643F53DE-D0A4-4699-B2D8-7EE1D58B6BFD}" name="Payment_Mode"/>
    <tableColumn id="13" xr3:uid="{7072CFE5-0324-4C02-BBFB-EED64A9A575F}" name="Salesperson"/>
    <tableColumn id="14" xr3:uid="{DCD8C4EB-F6C7-4CD0-960F-6F834AE4927A}" name="Gross Sales">
      <calculatedColumnFormula>I2*J2</calculatedColumnFormula>
    </tableColumn>
    <tableColumn id="15" xr3:uid="{1057CD61-9B3F-45D1-B33C-A43986168732}" name="Discount Amt" dataDxfId="2">
      <calculatedColumnFormula>Table1[[#This Row],[Gross Sales]]*Table1[[#This Row],[Discount_Pct]]/100</calculatedColumnFormula>
    </tableColumn>
    <tableColumn id="16" xr3:uid="{0B9D4E38-5C3A-41D4-885D-625CE740AAED}" name="Net Sales" dataDxfId="1">
      <calculatedColumnFormula>Table1[[#This Row],[Gross Sales]]-Table1[[#This Row],[Discount Amt]]</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DD36A3-EA21-407B-98AA-8ED873F26C5E}" name="Table2" displayName="Table2" ref="A1:B12" totalsRowShown="0" headerRowDxfId="0">
  <autoFilter ref="A1:B12" xr:uid="{78DD36A3-EA21-407B-98AA-8ED873F26C5E}"/>
  <tableColumns count="2">
    <tableColumn id="1" xr3:uid="{7F9CE2B0-48EF-4E23-B8E9-B878BC1F254B}" name="KPIs"/>
    <tableColumn id="2" xr3:uid="{9D114D8D-A858-488F-9339-2C4D2314CC71}" name="Valu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
  <sheetViews>
    <sheetView workbookViewId="0"/>
  </sheetViews>
  <sheetFormatPr defaultRowHeight="14.4" x14ac:dyDescent="0.3"/>
  <sheetData>
    <row r="1" spans="1:1" x14ac:dyDescent="0.3">
      <c r="A1" s="1" t="s">
        <v>395</v>
      </c>
    </row>
    <row r="2" spans="1:1" x14ac:dyDescent="0.3">
      <c r="A2" t="s">
        <v>396</v>
      </c>
    </row>
    <row r="3" spans="1:1" x14ac:dyDescent="0.3">
      <c r="A3" t="s">
        <v>397</v>
      </c>
    </row>
    <row r="4" spans="1:1" x14ac:dyDescent="0.3">
      <c r="A4" t="s">
        <v>398</v>
      </c>
    </row>
    <row r="5" spans="1:1" x14ac:dyDescent="0.3">
      <c r="A5" t="s">
        <v>399</v>
      </c>
    </row>
    <row r="6" spans="1:1" x14ac:dyDescent="0.3">
      <c r="A6" t="s">
        <v>400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1"/>
  <sheetViews>
    <sheetView topLeftCell="A2" workbookViewId="0">
      <selection activeCell="C132" sqref="C132"/>
    </sheetView>
  </sheetViews>
  <sheetFormatPr defaultRowHeight="14.4" x14ac:dyDescent="0.3"/>
  <cols>
    <col min="1" max="1" width="10.44140625" customWidth="1"/>
    <col min="2" max="2" width="12.5546875" customWidth="1"/>
    <col min="3" max="3" width="17" customWidth="1"/>
    <col min="4" max="4" width="19.44140625" customWidth="1"/>
    <col min="5" max="5" width="12" bestFit="1" customWidth="1"/>
    <col min="6" max="6" width="8.6640625" customWidth="1"/>
    <col min="7" max="7" width="13.109375" bestFit="1" customWidth="1"/>
    <col min="8" max="8" width="13.21875" bestFit="1" customWidth="1"/>
    <col min="9" max="9" width="10.21875" customWidth="1"/>
    <col min="10" max="10" width="11.5546875" customWidth="1"/>
    <col min="11" max="11" width="13.88671875" customWidth="1"/>
    <col min="12" max="12" width="16.44140625" customWidth="1"/>
    <col min="13" max="13" width="12.88671875" customWidth="1"/>
    <col min="14" max="14" width="12.109375" customWidth="1"/>
    <col min="15" max="15" width="14.21875" customWidth="1"/>
    <col min="16" max="16" width="13.109375" bestFit="1" customWidth="1"/>
  </cols>
  <sheetData>
    <row r="1" spans="1:16" x14ac:dyDescent="0.3">
      <c r="A1" s="1" t="s">
        <v>0</v>
      </c>
      <c r="B1" s="1" t="s">
        <v>1</v>
      </c>
      <c r="C1" s="1" t="s">
        <v>2</v>
      </c>
      <c r="D1" s="1" t="s">
        <v>3</v>
      </c>
      <c r="E1" s="1" t="s">
        <v>4</v>
      </c>
      <c r="F1" s="1" t="s">
        <v>5</v>
      </c>
      <c r="G1" s="1" t="s">
        <v>6</v>
      </c>
      <c r="H1" s="1" t="s">
        <v>7</v>
      </c>
      <c r="I1" s="1" t="s">
        <v>8</v>
      </c>
      <c r="J1" s="1" t="s">
        <v>9</v>
      </c>
      <c r="K1" s="1" t="s">
        <v>10</v>
      </c>
      <c r="L1" s="1" t="s">
        <v>11</v>
      </c>
      <c r="M1" s="1" t="s">
        <v>12</v>
      </c>
      <c r="N1" s="3" t="s">
        <v>401</v>
      </c>
      <c r="O1" s="3" t="s">
        <v>402</v>
      </c>
      <c r="P1" s="3" t="s">
        <v>403</v>
      </c>
    </row>
    <row r="2" spans="1:16" x14ac:dyDescent="0.3">
      <c r="A2" t="s">
        <v>13</v>
      </c>
      <c r="B2" s="2">
        <v>46080</v>
      </c>
      <c r="C2" t="s">
        <v>14</v>
      </c>
      <c r="D2" t="s">
        <v>15</v>
      </c>
      <c r="E2" t="s">
        <v>16</v>
      </c>
      <c r="F2" t="s">
        <v>17</v>
      </c>
      <c r="G2" t="s">
        <v>18</v>
      </c>
      <c r="H2" t="s">
        <v>19</v>
      </c>
      <c r="I2">
        <v>4</v>
      </c>
      <c r="J2">
        <v>6500</v>
      </c>
      <c r="K2">
        <v>5</v>
      </c>
      <c r="L2" t="s">
        <v>20</v>
      </c>
      <c r="M2" t="s">
        <v>21</v>
      </c>
      <c r="N2">
        <f>I2*J2</f>
        <v>26000</v>
      </c>
      <c r="O2">
        <f>Table1[[#This Row],[Gross Sales]]*Table1[[#This Row],[Discount_Pct]]/100</f>
        <v>1300</v>
      </c>
      <c r="P2">
        <f>Table1[[#This Row],[Gross Sales]]-Table1[[#This Row],[Discount Amt]]</f>
        <v>24700</v>
      </c>
    </row>
    <row r="3" spans="1:16" x14ac:dyDescent="0.3">
      <c r="A3" t="s">
        <v>22</v>
      </c>
      <c r="B3" s="2">
        <v>46239</v>
      </c>
      <c r="C3" t="s">
        <v>23</v>
      </c>
      <c r="D3" t="s">
        <v>24</v>
      </c>
      <c r="E3" t="s">
        <v>16</v>
      </c>
      <c r="F3" t="s">
        <v>17</v>
      </c>
      <c r="G3" t="s">
        <v>25</v>
      </c>
      <c r="H3" t="s">
        <v>26</v>
      </c>
      <c r="I3">
        <v>4</v>
      </c>
      <c r="J3">
        <v>700</v>
      </c>
      <c r="K3">
        <v>5</v>
      </c>
      <c r="L3" t="s">
        <v>20</v>
      </c>
      <c r="M3" t="s">
        <v>27</v>
      </c>
      <c r="N3">
        <f t="shared" ref="N3:N66" si="0">I3*J3</f>
        <v>2800</v>
      </c>
      <c r="O3">
        <f>Table1[[#This Row],[Gross Sales]]*Table1[[#This Row],[Discount_Pct]]/100</f>
        <v>140</v>
      </c>
      <c r="P3">
        <f>Table1[[#This Row],[Gross Sales]]-Table1[[#This Row],[Discount Amt]]</f>
        <v>2660</v>
      </c>
    </row>
    <row r="4" spans="1:16" x14ac:dyDescent="0.3">
      <c r="A4" t="s">
        <v>28</v>
      </c>
      <c r="B4" s="2">
        <v>46237</v>
      </c>
      <c r="C4" t="s">
        <v>29</v>
      </c>
      <c r="D4" t="s">
        <v>30</v>
      </c>
      <c r="E4" t="s">
        <v>31</v>
      </c>
      <c r="F4" t="s">
        <v>32</v>
      </c>
      <c r="G4" t="s">
        <v>33</v>
      </c>
      <c r="H4" t="s">
        <v>34</v>
      </c>
      <c r="I4">
        <v>5</v>
      </c>
      <c r="J4">
        <v>420</v>
      </c>
      <c r="K4">
        <v>0</v>
      </c>
      <c r="L4" t="s">
        <v>35</v>
      </c>
      <c r="M4" t="s">
        <v>27</v>
      </c>
      <c r="N4">
        <f t="shared" si="0"/>
        <v>2100</v>
      </c>
      <c r="O4">
        <f>Table1[[#This Row],[Gross Sales]]*Table1[[#This Row],[Discount_Pct]]/100</f>
        <v>0</v>
      </c>
      <c r="P4">
        <f>Table1[[#This Row],[Gross Sales]]-Table1[[#This Row],[Discount Amt]]</f>
        <v>2100</v>
      </c>
    </row>
    <row r="5" spans="1:16" x14ac:dyDescent="0.3">
      <c r="A5" t="s">
        <v>36</v>
      </c>
      <c r="B5" s="2">
        <v>46133</v>
      </c>
      <c r="C5" t="s">
        <v>37</v>
      </c>
      <c r="D5" t="s">
        <v>30</v>
      </c>
      <c r="E5" t="s">
        <v>38</v>
      </c>
      <c r="F5" t="s">
        <v>39</v>
      </c>
      <c r="G5" t="s">
        <v>33</v>
      </c>
      <c r="H5" t="s">
        <v>40</v>
      </c>
      <c r="I5">
        <v>2</v>
      </c>
      <c r="J5">
        <v>120</v>
      </c>
      <c r="K5">
        <v>15</v>
      </c>
      <c r="L5" t="s">
        <v>20</v>
      </c>
      <c r="M5" t="s">
        <v>41</v>
      </c>
      <c r="N5">
        <f t="shared" si="0"/>
        <v>240</v>
      </c>
      <c r="O5">
        <f>Table1[[#This Row],[Gross Sales]]*Table1[[#This Row],[Discount_Pct]]/100</f>
        <v>36</v>
      </c>
      <c r="P5">
        <f>Table1[[#This Row],[Gross Sales]]-Table1[[#This Row],[Discount Amt]]</f>
        <v>204</v>
      </c>
    </row>
    <row r="6" spans="1:16" x14ac:dyDescent="0.3">
      <c r="A6" t="s">
        <v>42</v>
      </c>
      <c r="B6" s="2">
        <v>46045</v>
      </c>
      <c r="C6" t="s">
        <v>43</v>
      </c>
      <c r="D6" t="s">
        <v>30</v>
      </c>
      <c r="E6" t="s">
        <v>44</v>
      </c>
      <c r="F6" t="s">
        <v>45</v>
      </c>
      <c r="G6" t="s">
        <v>33</v>
      </c>
      <c r="H6" t="s">
        <v>34</v>
      </c>
      <c r="I6">
        <v>2</v>
      </c>
      <c r="J6">
        <v>420</v>
      </c>
      <c r="K6">
        <v>15</v>
      </c>
      <c r="L6" t="s">
        <v>20</v>
      </c>
      <c r="M6" t="s">
        <v>41</v>
      </c>
      <c r="N6">
        <f t="shared" si="0"/>
        <v>840</v>
      </c>
      <c r="O6">
        <f>Table1[[#This Row],[Gross Sales]]*Table1[[#This Row],[Discount_Pct]]/100</f>
        <v>126</v>
      </c>
      <c r="P6">
        <f>Table1[[#This Row],[Gross Sales]]-Table1[[#This Row],[Discount Amt]]</f>
        <v>714</v>
      </c>
    </row>
    <row r="7" spans="1:16" x14ac:dyDescent="0.3">
      <c r="A7" t="s">
        <v>46</v>
      </c>
      <c r="B7" s="2">
        <v>46121</v>
      </c>
      <c r="C7" t="s">
        <v>47</v>
      </c>
      <c r="D7" t="s">
        <v>24</v>
      </c>
      <c r="E7" t="s">
        <v>44</v>
      </c>
      <c r="F7" t="s">
        <v>45</v>
      </c>
      <c r="G7" t="s">
        <v>25</v>
      </c>
      <c r="H7" t="s">
        <v>26</v>
      </c>
      <c r="I7">
        <v>4</v>
      </c>
      <c r="J7">
        <v>700</v>
      </c>
      <c r="K7">
        <v>10</v>
      </c>
      <c r="L7" t="s">
        <v>48</v>
      </c>
      <c r="M7" t="s">
        <v>41</v>
      </c>
      <c r="N7">
        <f t="shared" si="0"/>
        <v>2800</v>
      </c>
      <c r="O7">
        <f>Table1[[#This Row],[Gross Sales]]*Table1[[#This Row],[Discount_Pct]]/100</f>
        <v>280</v>
      </c>
      <c r="P7">
        <f>Table1[[#This Row],[Gross Sales]]-Table1[[#This Row],[Discount Amt]]</f>
        <v>2520</v>
      </c>
    </row>
    <row r="8" spans="1:16" x14ac:dyDescent="0.3">
      <c r="A8" t="s">
        <v>49</v>
      </c>
      <c r="B8" s="2">
        <v>46255</v>
      </c>
      <c r="C8" t="s">
        <v>50</v>
      </c>
      <c r="D8" t="s">
        <v>15</v>
      </c>
      <c r="E8" t="s">
        <v>51</v>
      </c>
      <c r="F8" t="s">
        <v>45</v>
      </c>
      <c r="G8" t="s">
        <v>33</v>
      </c>
      <c r="H8" t="s">
        <v>52</v>
      </c>
      <c r="I8">
        <v>6</v>
      </c>
      <c r="J8">
        <v>180</v>
      </c>
      <c r="K8">
        <v>10</v>
      </c>
      <c r="L8" t="s">
        <v>53</v>
      </c>
      <c r="M8" t="s">
        <v>54</v>
      </c>
      <c r="N8">
        <f t="shared" si="0"/>
        <v>1080</v>
      </c>
      <c r="O8">
        <f>Table1[[#This Row],[Gross Sales]]*Table1[[#This Row],[Discount_Pct]]/100</f>
        <v>108</v>
      </c>
      <c r="P8">
        <f>Table1[[#This Row],[Gross Sales]]-Table1[[#This Row],[Discount Amt]]</f>
        <v>972</v>
      </c>
    </row>
    <row r="9" spans="1:16" x14ac:dyDescent="0.3">
      <c r="A9" t="s">
        <v>55</v>
      </c>
      <c r="B9" s="2">
        <v>46110</v>
      </c>
      <c r="C9" t="s">
        <v>56</v>
      </c>
      <c r="D9" t="s">
        <v>15</v>
      </c>
      <c r="E9" t="s">
        <v>57</v>
      </c>
      <c r="F9" t="s">
        <v>32</v>
      </c>
      <c r="G9" t="s">
        <v>18</v>
      </c>
      <c r="H9" t="s">
        <v>58</v>
      </c>
      <c r="I9">
        <v>3</v>
      </c>
      <c r="J9">
        <v>9000</v>
      </c>
      <c r="K9">
        <v>20</v>
      </c>
      <c r="L9" t="s">
        <v>20</v>
      </c>
      <c r="M9" t="s">
        <v>27</v>
      </c>
      <c r="N9">
        <f t="shared" si="0"/>
        <v>27000</v>
      </c>
      <c r="O9">
        <f>Table1[[#This Row],[Gross Sales]]*Table1[[#This Row],[Discount_Pct]]/100</f>
        <v>5400</v>
      </c>
      <c r="P9">
        <f>Table1[[#This Row],[Gross Sales]]-Table1[[#This Row],[Discount Amt]]</f>
        <v>21600</v>
      </c>
    </row>
    <row r="10" spans="1:16" x14ac:dyDescent="0.3">
      <c r="A10" t="s">
        <v>59</v>
      </c>
      <c r="B10" s="2">
        <v>46189</v>
      </c>
      <c r="C10" t="s">
        <v>56</v>
      </c>
      <c r="D10" t="s">
        <v>24</v>
      </c>
      <c r="E10" t="s">
        <v>60</v>
      </c>
      <c r="F10" t="s">
        <v>39</v>
      </c>
      <c r="G10" t="s">
        <v>25</v>
      </c>
      <c r="H10" t="s">
        <v>61</v>
      </c>
      <c r="I10">
        <v>1</v>
      </c>
      <c r="J10">
        <v>450</v>
      </c>
      <c r="K10">
        <v>10</v>
      </c>
      <c r="L10" t="s">
        <v>62</v>
      </c>
      <c r="M10" t="s">
        <v>54</v>
      </c>
      <c r="N10">
        <f t="shared" si="0"/>
        <v>450</v>
      </c>
      <c r="O10">
        <f>Table1[[#This Row],[Gross Sales]]*Table1[[#This Row],[Discount_Pct]]/100</f>
        <v>45</v>
      </c>
      <c r="P10">
        <f>Table1[[#This Row],[Gross Sales]]-Table1[[#This Row],[Discount Amt]]</f>
        <v>405</v>
      </c>
    </row>
    <row r="11" spans="1:16" x14ac:dyDescent="0.3">
      <c r="A11" t="s">
        <v>63</v>
      </c>
      <c r="B11" s="2">
        <v>46184</v>
      </c>
      <c r="C11" t="s">
        <v>64</v>
      </c>
      <c r="D11" t="s">
        <v>24</v>
      </c>
      <c r="E11" t="s">
        <v>31</v>
      </c>
      <c r="F11" t="s">
        <v>32</v>
      </c>
      <c r="G11" t="s">
        <v>18</v>
      </c>
      <c r="H11" t="s">
        <v>65</v>
      </c>
      <c r="I11">
        <v>7</v>
      </c>
      <c r="J11">
        <v>8200</v>
      </c>
      <c r="K11">
        <v>20</v>
      </c>
      <c r="L11" t="s">
        <v>62</v>
      </c>
      <c r="M11" t="s">
        <v>66</v>
      </c>
      <c r="N11">
        <f t="shared" si="0"/>
        <v>57400</v>
      </c>
      <c r="O11">
        <f>Table1[[#This Row],[Gross Sales]]*Table1[[#This Row],[Discount_Pct]]/100</f>
        <v>11480</v>
      </c>
      <c r="P11">
        <f>Table1[[#This Row],[Gross Sales]]-Table1[[#This Row],[Discount Amt]]</f>
        <v>45920</v>
      </c>
    </row>
    <row r="12" spans="1:16" x14ac:dyDescent="0.3">
      <c r="A12" t="s">
        <v>67</v>
      </c>
      <c r="B12" s="2">
        <v>46157</v>
      </c>
      <c r="C12" t="s">
        <v>68</v>
      </c>
      <c r="D12" t="s">
        <v>15</v>
      </c>
      <c r="E12" t="s">
        <v>44</v>
      </c>
      <c r="F12" t="s">
        <v>45</v>
      </c>
      <c r="G12" t="s">
        <v>18</v>
      </c>
      <c r="H12" t="s">
        <v>65</v>
      </c>
      <c r="I12">
        <v>7</v>
      </c>
      <c r="J12">
        <v>8200</v>
      </c>
      <c r="K12">
        <v>10</v>
      </c>
      <c r="L12" t="s">
        <v>48</v>
      </c>
      <c r="M12" t="s">
        <v>21</v>
      </c>
      <c r="N12">
        <f t="shared" si="0"/>
        <v>57400</v>
      </c>
      <c r="O12">
        <f>Table1[[#This Row],[Gross Sales]]*Table1[[#This Row],[Discount_Pct]]/100</f>
        <v>5740</v>
      </c>
      <c r="P12">
        <f>Table1[[#This Row],[Gross Sales]]-Table1[[#This Row],[Discount Amt]]</f>
        <v>51660</v>
      </c>
    </row>
    <row r="13" spans="1:16" x14ac:dyDescent="0.3">
      <c r="A13" t="s">
        <v>69</v>
      </c>
      <c r="B13" s="2">
        <v>46047</v>
      </c>
      <c r="C13" t="s">
        <v>70</v>
      </c>
      <c r="D13" t="s">
        <v>30</v>
      </c>
      <c r="E13" t="s">
        <v>60</v>
      </c>
      <c r="F13" t="s">
        <v>39</v>
      </c>
      <c r="G13" t="s">
        <v>25</v>
      </c>
      <c r="H13" t="s">
        <v>61</v>
      </c>
      <c r="I13">
        <v>3</v>
      </c>
      <c r="J13">
        <v>450</v>
      </c>
      <c r="K13">
        <v>15</v>
      </c>
      <c r="L13" t="s">
        <v>48</v>
      </c>
      <c r="M13" t="s">
        <v>54</v>
      </c>
      <c r="N13">
        <f t="shared" si="0"/>
        <v>1350</v>
      </c>
      <c r="O13">
        <f>Table1[[#This Row],[Gross Sales]]*Table1[[#This Row],[Discount_Pct]]/100</f>
        <v>202.5</v>
      </c>
      <c r="P13">
        <f>Table1[[#This Row],[Gross Sales]]-Table1[[#This Row],[Discount Amt]]</f>
        <v>1147.5</v>
      </c>
    </row>
    <row r="14" spans="1:16" x14ac:dyDescent="0.3">
      <c r="A14" t="s">
        <v>71</v>
      </c>
      <c r="B14" s="2">
        <v>46262</v>
      </c>
      <c r="C14" t="s">
        <v>72</v>
      </c>
      <c r="D14" t="s">
        <v>15</v>
      </c>
      <c r="E14" t="s">
        <v>57</v>
      </c>
      <c r="F14" t="s">
        <v>32</v>
      </c>
      <c r="G14" t="s">
        <v>33</v>
      </c>
      <c r="H14" t="s">
        <v>34</v>
      </c>
      <c r="I14">
        <v>1</v>
      </c>
      <c r="J14">
        <v>420</v>
      </c>
      <c r="K14">
        <v>0</v>
      </c>
      <c r="L14" t="s">
        <v>35</v>
      </c>
      <c r="M14" t="s">
        <v>21</v>
      </c>
      <c r="N14">
        <f t="shared" si="0"/>
        <v>420</v>
      </c>
      <c r="O14">
        <f>Table1[[#This Row],[Gross Sales]]*Table1[[#This Row],[Discount_Pct]]/100</f>
        <v>0</v>
      </c>
      <c r="P14">
        <f>Table1[[#This Row],[Gross Sales]]-Table1[[#This Row],[Discount Amt]]</f>
        <v>420</v>
      </c>
    </row>
    <row r="15" spans="1:16" x14ac:dyDescent="0.3">
      <c r="A15" t="s">
        <v>73</v>
      </c>
      <c r="B15" s="2">
        <v>46173</v>
      </c>
      <c r="C15" t="s">
        <v>74</v>
      </c>
      <c r="D15" t="s">
        <v>15</v>
      </c>
      <c r="E15" t="s">
        <v>75</v>
      </c>
      <c r="F15" t="s">
        <v>32</v>
      </c>
      <c r="G15" t="s">
        <v>25</v>
      </c>
      <c r="H15" t="s">
        <v>76</v>
      </c>
      <c r="I15">
        <v>1</v>
      </c>
      <c r="J15">
        <v>12500</v>
      </c>
      <c r="K15">
        <v>10</v>
      </c>
      <c r="L15" t="s">
        <v>53</v>
      </c>
      <c r="M15" t="s">
        <v>66</v>
      </c>
      <c r="N15">
        <f t="shared" si="0"/>
        <v>12500</v>
      </c>
      <c r="O15">
        <f>Table1[[#This Row],[Gross Sales]]*Table1[[#This Row],[Discount_Pct]]/100</f>
        <v>1250</v>
      </c>
      <c r="P15">
        <f>Table1[[#This Row],[Gross Sales]]-Table1[[#This Row],[Discount Amt]]</f>
        <v>11250</v>
      </c>
    </row>
    <row r="16" spans="1:16" x14ac:dyDescent="0.3">
      <c r="A16" t="s">
        <v>77</v>
      </c>
      <c r="B16" s="2">
        <v>46175</v>
      </c>
      <c r="C16" t="s">
        <v>78</v>
      </c>
      <c r="D16" t="s">
        <v>15</v>
      </c>
      <c r="E16" t="s">
        <v>60</v>
      </c>
      <c r="F16" t="s">
        <v>39</v>
      </c>
      <c r="G16" t="s">
        <v>18</v>
      </c>
      <c r="H16" t="s">
        <v>79</v>
      </c>
      <c r="I16">
        <v>4</v>
      </c>
      <c r="J16">
        <v>1600</v>
      </c>
      <c r="K16">
        <v>5</v>
      </c>
      <c r="L16" t="s">
        <v>20</v>
      </c>
      <c r="M16" t="s">
        <v>21</v>
      </c>
      <c r="N16">
        <f t="shared" si="0"/>
        <v>6400</v>
      </c>
      <c r="O16">
        <f>Table1[[#This Row],[Gross Sales]]*Table1[[#This Row],[Discount_Pct]]/100</f>
        <v>320</v>
      </c>
      <c r="P16">
        <f>Table1[[#This Row],[Gross Sales]]-Table1[[#This Row],[Discount Amt]]</f>
        <v>6080</v>
      </c>
    </row>
    <row r="17" spans="1:16" x14ac:dyDescent="0.3">
      <c r="A17" t="s">
        <v>80</v>
      </c>
      <c r="B17" s="2">
        <v>46188</v>
      </c>
      <c r="C17" t="s">
        <v>81</v>
      </c>
      <c r="D17" t="s">
        <v>24</v>
      </c>
      <c r="E17" t="s">
        <v>82</v>
      </c>
      <c r="F17" t="s">
        <v>32</v>
      </c>
      <c r="G17" t="s">
        <v>25</v>
      </c>
      <c r="H17" t="s">
        <v>26</v>
      </c>
      <c r="I17">
        <v>6</v>
      </c>
      <c r="J17">
        <v>700</v>
      </c>
      <c r="K17">
        <v>10</v>
      </c>
      <c r="L17" t="s">
        <v>20</v>
      </c>
      <c r="M17" t="s">
        <v>21</v>
      </c>
      <c r="N17">
        <f t="shared" si="0"/>
        <v>4200</v>
      </c>
      <c r="O17">
        <f>Table1[[#This Row],[Gross Sales]]*Table1[[#This Row],[Discount_Pct]]/100</f>
        <v>420</v>
      </c>
      <c r="P17">
        <f>Table1[[#This Row],[Gross Sales]]-Table1[[#This Row],[Discount Amt]]</f>
        <v>3780</v>
      </c>
    </row>
    <row r="18" spans="1:16" x14ac:dyDescent="0.3">
      <c r="A18" t="s">
        <v>83</v>
      </c>
      <c r="B18" s="2">
        <v>46066</v>
      </c>
      <c r="C18" t="s">
        <v>84</v>
      </c>
      <c r="D18" t="s">
        <v>24</v>
      </c>
      <c r="E18" t="s">
        <v>44</v>
      </c>
      <c r="F18" t="s">
        <v>45</v>
      </c>
      <c r="G18" t="s">
        <v>33</v>
      </c>
      <c r="H18" t="s">
        <v>40</v>
      </c>
      <c r="I18">
        <v>3</v>
      </c>
      <c r="J18">
        <v>120</v>
      </c>
      <c r="K18">
        <v>5</v>
      </c>
      <c r="L18" t="s">
        <v>35</v>
      </c>
      <c r="M18" t="s">
        <v>54</v>
      </c>
      <c r="N18">
        <f t="shared" si="0"/>
        <v>360</v>
      </c>
      <c r="O18">
        <f>Table1[[#This Row],[Gross Sales]]*Table1[[#This Row],[Discount_Pct]]/100</f>
        <v>18</v>
      </c>
      <c r="P18">
        <f>Table1[[#This Row],[Gross Sales]]-Table1[[#This Row],[Discount Amt]]</f>
        <v>342</v>
      </c>
    </row>
    <row r="19" spans="1:16" x14ac:dyDescent="0.3">
      <c r="A19" t="s">
        <v>85</v>
      </c>
      <c r="B19" s="2">
        <v>46239</v>
      </c>
      <c r="C19" t="s">
        <v>86</v>
      </c>
      <c r="D19" t="s">
        <v>15</v>
      </c>
      <c r="E19" t="s">
        <v>31</v>
      </c>
      <c r="F19" t="s">
        <v>32</v>
      </c>
      <c r="G19" t="s">
        <v>18</v>
      </c>
      <c r="H19" t="s">
        <v>58</v>
      </c>
      <c r="I19">
        <v>5</v>
      </c>
      <c r="J19">
        <v>9000</v>
      </c>
      <c r="K19">
        <v>15</v>
      </c>
      <c r="L19" t="s">
        <v>48</v>
      </c>
      <c r="M19" t="s">
        <v>21</v>
      </c>
      <c r="N19">
        <f t="shared" si="0"/>
        <v>45000</v>
      </c>
      <c r="O19">
        <f>Table1[[#This Row],[Gross Sales]]*Table1[[#This Row],[Discount_Pct]]/100</f>
        <v>6750</v>
      </c>
      <c r="P19">
        <f>Table1[[#This Row],[Gross Sales]]-Table1[[#This Row],[Discount Amt]]</f>
        <v>38250</v>
      </c>
    </row>
    <row r="20" spans="1:16" x14ac:dyDescent="0.3">
      <c r="A20" t="s">
        <v>87</v>
      </c>
      <c r="B20" s="2">
        <v>46149</v>
      </c>
      <c r="C20" t="s">
        <v>88</v>
      </c>
      <c r="D20" t="s">
        <v>24</v>
      </c>
      <c r="E20" t="s">
        <v>31</v>
      </c>
      <c r="F20" t="s">
        <v>32</v>
      </c>
      <c r="G20" t="s">
        <v>25</v>
      </c>
      <c r="H20" t="s">
        <v>89</v>
      </c>
      <c r="I20">
        <v>1</v>
      </c>
      <c r="J20">
        <v>1200</v>
      </c>
      <c r="K20">
        <v>5</v>
      </c>
      <c r="L20" t="s">
        <v>53</v>
      </c>
      <c r="M20" t="s">
        <v>66</v>
      </c>
      <c r="N20">
        <f t="shared" si="0"/>
        <v>1200</v>
      </c>
      <c r="O20">
        <f>Table1[[#This Row],[Gross Sales]]*Table1[[#This Row],[Discount_Pct]]/100</f>
        <v>60</v>
      </c>
      <c r="P20">
        <f>Table1[[#This Row],[Gross Sales]]-Table1[[#This Row],[Discount Amt]]</f>
        <v>1140</v>
      </c>
    </row>
    <row r="21" spans="1:16" x14ac:dyDescent="0.3">
      <c r="A21" t="s">
        <v>90</v>
      </c>
      <c r="B21" s="2">
        <v>46053</v>
      </c>
      <c r="C21" t="s">
        <v>91</v>
      </c>
      <c r="D21" t="s">
        <v>30</v>
      </c>
      <c r="E21" t="s">
        <v>31</v>
      </c>
      <c r="F21" t="s">
        <v>32</v>
      </c>
      <c r="G21" t="s">
        <v>25</v>
      </c>
      <c r="H21" t="s">
        <v>26</v>
      </c>
      <c r="I21">
        <v>6</v>
      </c>
      <c r="J21">
        <v>700</v>
      </c>
      <c r="K21">
        <v>0</v>
      </c>
      <c r="L21" t="s">
        <v>48</v>
      </c>
      <c r="M21" t="s">
        <v>27</v>
      </c>
      <c r="N21">
        <f t="shared" si="0"/>
        <v>4200</v>
      </c>
      <c r="O21">
        <f>Table1[[#This Row],[Gross Sales]]*Table1[[#This Row],[Discount_Pct]]/100</f>
        <v>0</v>
      </c>
      <c r="P21">
        <f>Table1[[#This Row],[Gross Sales]]-Table1[[#This Row],[Discount Amt]]</f>
        <v>4200</v>
      </c>
    </row>
    <row r="22" spans="1:16" x14ac:dyDescent="0.3">
      <c r="A22" t="s">
        <v>92</v>
      </c>
      <c r="B22" s="2">
        <v>46090</v>
      </c>
      <c r="C22" t="s">
        <v>93</v>
      </c>
      <c r="D22" t="s">
        <v>24</v>
      </c>
      <c r="E22" t="s">
        <v>44</v>
      </c>
      <c r="F22" t="s">
        <v>45</v>
      </c>
      <c r="G22" t="s">
        <v>18</v>
      </c>
      <c r="H22" t="s">
        <v>79</v>
      </c>
      <c r="I22">
        <v>8</v>
      </c>
      <c r="J22">
        <v>1600</v>
      </c>
      <c r="K22">
        <v>5</v>
      </c>
      <c r="L22" t="s">
        <v>53</v>
      </c>
      <c r="M22" t="s">
        <v>21</v>
      </c>
      <c r="N22">
        <f t="shared" si="0"/>
        <v>12800</v>
      </c>
      <c r="O22">
        <f>Table1[[#This Row],[Gross Sales]]*Table1[[#This Row],[Discount_Pct]]/100</f>
        <v>640</v>
      </c>
      <c r="P22">
        <f>Table1[[#This Row],[Gross Sales]]-Table1[[#This Row],[Discount Amt]]</f>
        <v>12160</v>
      </c>
    </row>
    <row r="23" spans="1:16" x14ac:dyDescent="0.3">
      <c r="A23" t="s">
        <v>94</v>
      </c>
      <c r="B23" s="2">
        <v>46243</v>
      </c>
      <c r="C23" t="s">
        <v>95</v>
      </c>
      <c r="D23" t="s">
        <v>30</v>
      </c>
      <c r="E23" t="s">
        <v>96</v>
      </c>
      <c r="F23" t="s">
        <v>17</v>
      </c>
      <c r="G23" t="s">
        <v>33</v>
      </c>
      <c r="H23" t="s">
        <v>97</v>
      </c>
      <c r="I23">
        <v>8</v>
      </c>
      <c r="J23">
        <v>250</v>
      </c>
      <c r="K23">
        <v>0</v>
      </c>
      <c r="L23" t="s">
        <v>35</v>
      </c>
      <c r="M23" t="s">
        <v>21</v>
      </c>
      <c r="N23">
        <f t="shared" si="0"/>
        <v>2000</v>
      </c>
      <c r="O23">
        <f>Table1[[#This Row],[Gross Sales]]*Table1[[#This Row],[Discount_Pct]]/100</f>
        <v>0</v>
      </c>
      <c r="P23">
        <f>Table1[[#This Row],[Gross Sales]]-Table1[[#This Row],[Discount Amt]]</f>
        <v>2000</v>
      </c>
    </row>
    <row r="24" spans="1:16" x14ac:dyDescent="0.3">
      <c r="A24" t="s">
        <v>98</v>
      </c>
      <c r="B24" s="2">
        <v>46150</v>
      </c>
      <c r="C24" t="s">
        <v>99</v>
      </c>
      <c r="D24" t="s">
        <v>30</v>
      </c>
      <c r="E24" t="s">
        <v>31</v>
      </c>
      <c r="F24" t="s">
        <v>32</v>
      </c>
      <c r="G24" t="s">
        <v>25</v>
      </c>
      <c r="H24" t="s">
        <v>100</v>
      </c>
      <c r="I24">
        <v>8</v>
      </c>
      <c r="J24">
        <v>1800</v>
      </c>
      <c r="K24">
        <v>5</v>
      </c>
      <c r="L24" t="s">
        <v>48</v>
      </c>
      <c r="M24" t="s">
        <v>27</v>
      </c>
      <c r="N24">
        <f t="shared" si="0"/>
        <v>14400</v>
      </c>
      <c r="O24">
        <f>Table1[[#This Row],[Gross Sales]]*Table1[[#This Row],[Discount_Pct]]/100</f>
        <v>720</v>
      </c>
      <c r="P24">
        <f>Table1[[#This Row],[Gross Sales]]-Table1[[#This Row],[Discount Amt]]</f>
        <v>13680</v>
      </c>
    </row>
    <row r="25" spans="1:16" x14ac:dyDescent="0.3">
      <c r="A25" t="s">
        <v>101</v>
      </c>
      <c r="B25" s="2">
        <v>46061</v>
      </c>
      <c r="C25" t="s">
        <v>47</v>
      </c>
      <c r="D25" t="s">
        <v>24</v>
      </c>
      <c r="E25" t="s">
        <v>82</v>
      </c>
      <c r="F25" t="s">
        <v>32</v>
      </c>
      <c r="G25" t="s">
        <v>18</v>
      </c>
      <c r="H25" t="s">
        <v>102</v>
      </c>
      <c r="I25">
        <v>1</v>
      </c>
      <c r="J25">
        <v>7500</v>
      </c>
      <c r="K25">
        <v>0</v>
      </c>
      <c r="L25" t="s">
        <v>48</v>
      </c>
      <c r="M25" t="s">
        <v>103</v>
      </c>
      <c r="N25">
        <f t="shared" si="0"/>
        <v>7500</v>
      </c>
      <c r="O25">
        <f>Table1[[#This Row],[Gross Sales]]*Table1[[#This Row],[Discount_Pct]]/100</f>
        <v>0</v>
      </c>
      <c r="P25">
        <f>Table1[[#This Row],[Gross Sales]]-Table1[[#This Row],[Discount Amt]]</f>
        <v>7500</v>
      </c>
    </row>
    <row r="26" spans="1:16" x14ac:dyDescent="0.3">
      <c r="A26" t="s">
        <v>104</v>
      </c>
      <c r="B26" s="2">
        <v>46269</v>
      </c>
      <c r="C26" t="s">
        <v>105</v>
      </c>
      <c r="D26" t="s">
        <v>30</v>
      </c>
      <c r="E26" t="s">
        <v>31</v>
      </c>
      <c r="F26" t="s">
        <v>32</v>
      </c>
      <c r="G26" t="s">
        <v>33</v>
      </c>
      <c r="H26" t="s">
        <v>40</v>
      </c>
      <c r="I26">
        <v>3</v>
      </c>
      <c r="J26">
        <v>120</v>
      </c>
      <c r="K26">
        <v>15</v>
      </c>
      <c r="L26" t="s">
        <v>48</v>
      </c>
      <c r="M26" t="s">
        <v>41</v>
      </c>
      <c r="N26">
        <f t="shared" si="0"/>
        <v>360</v>
      </c>
      <c r="O26">
        <f>Table1[[#This Row],[Gross Sales]]*Table1[[#This Row],[Discount_Pct]]/100</f>
        <v>54</v>
      </c>
      <c r="P26">
        <f>Table1[[#This Row],[Gross Sales]]-Table1[[#This Row],[Discount Amt]]</f>
        <v>306</v>
      </c>
    </row>
    <row r="27" spans="1:16" x14ac:dyDescent="0.3">
      <c r="A27" t="s">
        <v>106</v>
      </c>
      <c r="B27" s="2">
        <v>46239</v>
      </c>
      <c r="C27" t="s">
        <v>50</v>
      </c>
      <c r="D27" t="s">
        <v>24</v>
      </c>
      <c r="E27" t="s">
        <v>44</v>
      </c>
      <c r="F27" t="s">
        <v>45</v>
      </c>
      <c r="G27" t="s">
        <v>18</v>
      </c>
      <c r="H27" t="s">
        <v>79</v>
      </c>
      <c r="I27">
        <v>8</v>
      </c>
      <c r="J27">
        <v>1600</v>
      </c>
      <c r="K27">
        <v>5</v>
      </c>
      <c r="L27" t="s">
        <v>53</v>
      </c>
      <c r="M27" t="s">
        <v>54</v>
      </c>
      <c r="N27">
        <f t="shared" si="0"/>
        <v>12800</v>
      </c>
      <c r="O27">
        <f>Table1[[#This Row],[Gross Sales]]*Table1[[#This Row],[Discount_Pct]]/100</f>
        <v>640</v>
      </c>
      <c r="P27">
        <f>Table1[[#This Row],[Gross Sales]]-Table1[[#This Row],[Discount Amt]]</f>
        <v>12160</v>
      </c>
    </row>
    <row r="28" spans="1:16" x14ac:dyDescent="0.3">
      <c r="A28" t="s">
        <v>107</v>
      </c>
      <c r="B28" s="2">
        <v>46054</v>
      </c>
      <c r="C28" t="s">
        <v>108</v>
      </c>
      <c r="D28" t="s">
        <v>24</v>
      </c>
      <c r="E28" t="s">
        <v>44</v>
      </c>
      <c r="F28" t="s">
        <v>45</v>
      </c>
      <c r="G28" t="s">
        <v>33</v>
      </c>
      <c r="H28" t="s">
        <v>40</v>
      </c>
      <c r="I28">
        <v>1</v>
      </c>
      <c r="J28">
        <v>120</v>
      </c>
      <c r="K28">
        <v>20</v>
      </c>
      <c r="L28" t="s">
        <v>53</v>
      </c>
      <c r="M28" t="s">
        <v>54</v>
      </c>
      <c r="N28">
        <f t="shared" si="0"/>
        <v>120</v>
      </c>
      <c r="O28">
        <f>Table1[[#This Row],[Gross Sales]]*Table1[[#This Row],[Discount_Pct]]/100</f>
        <v>24</v>
      </c>
      <c r="P28">
        <f>Table1[[#This Row],[Gross Sales]]-Table1[[#This Row],[Discount Amt]]</f>
        <v>96</v>
      </c>
    </row>
    <row r="29" spans="1:16" x14ac:dyDescent="0.3">
      <c r="A29" t="s">
        <v>109</v>
      </c>
      <c r="B29" s="2">
        <v>46064</v>
      </c>
      <c r="C29" t="s">
        <v>110</v>
      </c>
      <c r="D29" t="s">
        <v>15</v>
      </c>
      <c r="E29" t="s">
        <v>60</v>
      </c>
      <c r="F29" t="s">
        <v>39</v>
      </c>
      <c r="G29" t="s">
        <v>25</v>
      </c>
      <c r="H29" t="s">
        <v>26</v>
      </c>
      <c r="I29">
        <v>2</v>
      </c>
      <c r="J29">
        <v>700</v>
      </c>
      <c r="K29">
        <v>5</v>
      </c>
      <c r="L29" t="s">
        <v>62</v>
      </c>
      <c r="M29" t="s">
        <v>54</v>
      </c>
      <c r="N29">
        <f t="shared" si="0"/>
        <v>1400</v>
      </c>
      <c r="O29">
        <f>Table1[[#This Row],[Gross Sales]]*Table1[[#This Row],[Discount_Pct]]/100</f>
        <v>70</v>
      </c>
      <c r="P29">
        <f>Table1[[#This Row],[Gross Sales]]-Table1[[#This Row],[Discount Amt]]</f>
        <v>1330</v>
      </c>
    </row>
    <row r="30" spans="1:16" x14ac:dyDescent="0.3">
      <c r="A30" t="s">
        <v>111</v>
      </c>
      <c r="B30" s="2">
        <v>46043</v>
      </c>
      <c r="C30" t="s">
        <v>112</v>
      </c>
      <c r="D30" t="s">
        <v>24</v>
      </c>
      <c r="E30" t="s">
        <v>113</v>
      </c>
      <c r="F30" t="s">
        <v>45</v>
      </c>
      <c r="G30" t="s">
        <v>25</v>
      </c>
      <c r="H30" t="s">
        <v>76</v>
      </c>
      <c r="I30">
        <v>6</v>
      </c>
      <c r="J30">
        <v>12500</v>
      </c>
      <c r="K30">
        <v>10</v>
      </c>
      <c r="L30" t="s">
        <v>35</v>
      </c>
      <c r="M30" t="s">
        <v>103</v>
      </c>
      <c r="N30">
        <f t="shared" si="0"/>
        <v>75000</v>
      </c>
      <c r="O30">
        <f>Table1[[#This Row],[Gross Sales]]*Table1[[#This Row],[Discount_Pct]]/100</f>
        <v>7500</v>
      </c>
      <c r="P30">
        <f>Table1[[#This Row],[Gross Sales]]-Table1[[#This Row],[Discount Amt]]</f>
        <v>67500</v>
      </c>
    </row>
    <row r="31" spans="1:16" x14ac:dyDescent="0.3">
      <c r="A31" t="s">
        <v>114</v>
      </c>
      <c r="B31" s="2">
        <v>46090</v>
      </c>
      <c r="C31" t="s">
        <v>115</v>
      </c>
      <c r="D31" t="s">
        <v>30</v>
      </c>
      <c r="E31" t="s">
        <v>51</v>
      </c>
      <c r="F31" t="s">
        <v>45</v>
      </c>
      <c r="G31" t="s">
        <v>18</v>
      </c>
      <c r="H31" t="s">
        <v>19</v>
      </c>
      <c r="I31">
        <v>8</v>
      </c>
      <c r="J31">
        <v>6500</v>
      </c>
      <c r="K31">
        <v>10</v>
      </c>
      <c r="L31" t="s">
        <v>20</v>
      </c>
      <c r="M31" t="s">
        <v>54</v>
      </c>
      <c r="N31">
        <f t="shared" si="0"/>
        <v>52000</v>
      </c>
      <c r="O31">
        <f>Table1[[#This Row],[Gross Sales]]*Table1[[#This Row],[Discount_Pct]]/100</f>
        <v>5200</v>
      </c>
      <c r="P31">
        <f>Table1[[#This Row],[Gross Sales]]-Table1[[#This Row],[Discount Amt]]</f>
        <v>46800</v>
      </c>
    </row>
    <row r="32" spans="1:16" x14ac:dyDescent="0.3">
      <c r="A32" t="s">
        <v>116</v>
      </c>
      <c r="B32" s="2">
        <v>46074</v>
      </c>
      <c r="C32" t="s">
        <v>117</v>
      </c>
      <c r="D32" t="s">
        <v>24</v>
      </c>
      <c r="E32" t="s">
        <v>118</v>
      </c>
      <c r="F32" t="s">
        <v>17</v>
      </c>
      <c r="G32" t="s">
        <v>18</v>
      </c>
      <c r="H32" t="s">
        <v>58</v>
      </c>
      <c r="I32">
        <v>5</v>
      </c>
      <c r="J32">
        <v>9000</v>
      </c>
      <c r="K32">
        <v>5</v>
      </c>
      <c r="L32" t="s">
        <v>35</v>
      </c>
      <c r="M32" t="s">
        <v>41</v>
      </c>
      <c r="N32">
        <f t="shared" si="0"/>
        <v>45000</v>
      </c>
      <c r="O32">
        <f>Table1[[#This Row],[Gross Sales]]*Table1[[#This Row],[Discount_Pct]]/100</f>
        <v>2250</v>
      </c>
      <c r="P32">
        <f>Table1[[#This Row],[Gross Sales]]-Table1[[#This Row],[Discount Amt]]</f>
        <v>42750</v>
      </c>
    </row>
    <row r="33" spans="1:16" x14ac:dyDescent="0.3">
      <c r="A33" t="s">
        <v>119</v>
      </c>
      <c r="B33" s="2">
        <v>46103</v>
      </c>
      <c r="C33" t="s">
        <v>120</v>
      </c>
      <c r="D33" t="s">
        <v>30</v>
      </c>
      <c r="E33" t="s">
        <v>82</v>
      </c>
      <c r="F33" t="s">
        <v>32</v>
      </c>
      <c r="G33" t="s">
        <v>18</v>
      </c>
      <c r="H33" t="s">
        <v>19</v>
      </c>
      <c r="I33">
        <v>1</v>
      </c>
      <c r="J33">
        <v>6500</v>
      </c>
      <c r="K33">
        <v>10</v>
      </c>
      <c r="L33" t="s">
        <v>53</v>
      </c>
      <c r="M33" t="s">
        <v>21</v>
      </c>
      <c r="N33">
        <f t="shared" si="0"/>
        <v>6500</v>
      </c>
      <c r="O33">
        <f>Table1[[#This Row],[Gross Sales]]*Table1[[#This Row],[Discount_Pct]]/100</f>
        <v>650</v>
      </c>
      <c r="P33">
        <f>Table1[[#This Row],[Gross Sales]]-Table1[[#This Row],[Discount Amt]]</f>
        <v>5850</v>
      </c>
    </row>
    <row r="34" spans="1:16" x14ac:dyDescent="0.3">
      <c r="A34" t="s">
        <v>121</v>
      </c>
      <c r="B34" s="2">
        <v>46102</v>
      </c>
      <c r="C34" t="s">
        <v>50</v>
      </c>
      <c r="D34" t="s">
        <v>15</v>
      </c>
      <c r="E34" t="s">
        <v>122</v>
      </c>
      <c r="F34" t="s">
        <v>17</v>
      </c>
      <c r="G34" t="s">
        <v>33</v>
      </c>
      <c r="H34" t="s">
        <v>34</v>
      </c>
      <c r="I34">
        <v>4</v>
      </c>
      <c r="J34">
        <v>420</v>
      </c>
      <c r="K34">
        <v>10</v>
      </c>
      <c r="L34" t="s">
        <v>48</v>
      </c>
      <c r="M34" t="s">
        <v>41</v>
      </c>
      <c r="N34">
        <f t="shared" si="0"/>
        <v>1680</v>
      </c>
      <c r="O34">
        <f>Table1[[#This Row],[Gross Sales]]*Table1[[#This Row],[Discount_Pct]]/100</f>
        <v>168</v>
      </c>
      <c r="P34">
        <f>Table1[[#This Row],[Gross Sales]]-Table1[[#This Row],[Discount Amt]]</f>
        <v>1512</v>
      </c>
    </row>
    <row r="35" spans="1:16" x14ac:dyDescent="0.3">
      <c r="A35" t="s">
        <v>123</v>
      </c>
      <c r="B35" s="2">
        <v>46049</v>
      </c>
      <c r="C35" t="s">
        <v>124</v>
      </c>
      <c r="D35" t="s">
        <v>24</v>
      </c>
      <c r="E35" t="s">
        <v>118</v>
      </c>
      <c r="F35" t="s">
        <v>17</v>
      </c>
      <c r="G35" t="s">
        <v>18</v>
      </c>
      <c r="H35" t="s">
        <v>65</v>
      </c>
      <c r="I35">
        <v>5</v>
      </c>
      <c r="J35">
        <v>8200</v>
      </c>
      <c r="K35">
        <v>0</v>
      </c>
      <c r="L35" t="s">
        <v>35</v>
      </c>
      <c r="M35" t="s">
        <v>27</v>
      </c>
      <c r="N35">
        <f t="shared" si="0"/>
        <v>41000</v>
      </c>
      <c r="O35">
        <f>Table1[[#This Row],[Gross Sales]]*Table1[[#This Row],[Discount_Pct]]/100</f>
        <v>0</v>
      </c>
      <c r="P35">
        <f>Table1[[#This Row],[Gross Sales]]-Table1[[#This Row],[Discount Amt]]</f>
        <v>41000</v>
      </c>
    </row>
    <row r="36" spans="1:16" x14ac:dyDescent="0.3">
      <c r="A36" t="s">
        <v>125</v>
      </c>
      <c r="B36" s="2">
        <v>46249</v>
      </c>
      <c r="C36" t="s">
        <v>126</v>
      </c>
      <c r="D36" t="s">
        <v>15</v>
      </c>
      <c r="E36" t="s">
        <v>57</v>
      </c>
      <c r="F36" t="s">
        <v>32</v>
      </c>
      <c r="G36" t="s">
        <v>18</v>
      </c>
      <c r="H36" t="s">
        <v>65</v>
      </c>
      <c r="I36">
        <v>1</v>
      </c>
      <c r="J36">
        <v>8200</v>
      </c>
      <c r="K36">
        <v>0</v>
      </c>
      <c r="L36" t="s">
        <v>53</v>
      </c>
      <c r="M36" t="s">
        <v>41</v>
      </c>
      <c r="N36">
        <f t="shared" si="0"/>
        <v>8200</v>
      </c>
      <c r="O36">
        <f>Table1[[#This Row],[Gross Sales]]*Table1[[#This Row],[Discount_Pct]]/100</f>
        <v>0</v>
      </c>
      <c r="P36">
        <f>Table1[[#This Row],[Gross Sales]]-Table1[[#This Row],[Discount Amt]]</f>
        <v>8200</v>
      </c>
    </row>
    <row r="37" spans="1:16" x14ac:dyDescent="0.3">
      <c r="A37" t="s">
        <v>127</v>
      </c>
      <c r="B37" s="2">
        <v>46098</v>
      </c>
      <c r="C37" t="s">
        <v>128</v>
      </c>
      <c r="D37" t="s">
        <v>24</v>
      </c>
      <c r="E37" t="s">
        <v>75</v>
      </c>
      <c r="F37" t="s">
        <v>32</v>
      </c>
      <c r="G37" t="s">
        <v>25</v>
      </c>
      <c r="H37" t="s">
        <v>26</v>
      </c>
      <c r="I37">
        <v>5</v>
      </c>
      <c r="J37">
        <v>700</v>
      </c>
      <c r="K37">
        <v>10</v>
      </c>
      <c r="L37" t="s">
        <v>62</v>
      </c>
      <c r="M37" t="s">
        <v>66</v>
      </c>
      <c r="N37">
        <f t="shared" si="0"/>
        <v>3500</v>
      </c>
      <c r="O37">
        <f>Table1[[#This Row],[Gross Sales]]*Table1[[#This Row],[Discount_Pct]]/100</f>
        <v>350</v>
      </c>
      <c r="P37">
        <f>Table1[[#This Row],[Gross Sales]]-Table1[[#This Row],[Discount Amt]]</f>
        <v>3150</v>
      </c>
    </row>
    <row r="38" spans="1:16" x14ac:dyDescent="0.3">
      <c r="A38" t="s">
        <v>129</v>
      </c>
      <c r="B38" s="2">
        <v>46075</v>
      </c>
      <c r="C38" t="s">
        <v>130</v>
      </c>
      <c r="D38" t="s">
        <v>30</v>
      </c>
      <c r="E38" t="s">
        <v>96</v>
      </c>
      <c r="F38" t="s">
        <v>17</v>
      </c>
      <c r="G38" t="s">
        <v>18</v>
      </c>
      <c r="H38" t="s">
        <v>65</v>
      </c>
      <c r="I38">
        <v>3</v>
      </c>
      <c r="J38">
        <v>8200</v>
      </c>
      <c r="K38">
        <v>5</v>
      </c>
      <c r="L38" t="s">
        <v>53</v>
      </c>
      <c r="M38" t="s">
        <v>27</v>
      </c>
      <c r="N38">
        <f t="shared" si="0"/>
        <v>24600</v>
      </c>
      <c r="O38">
        <f>Table1[[#This Row],[Gross Sales]]*Table1[[#This Row],[Discount_Pct]]/100</f>
        <v>1230</v>
      </c>
      <c r="P38">
        <f>Table1[[#This Row],[Gross Sales]]-Table1[[#This Row],[Discount Amt]]</f>
        <v>23370</v>
      </c>
    </row>
    <row r="39" spans="1:16" x14ac:dyDescent="0.3">
      <c r="A39" t="s">
        <v>131</v>
      </c>
      <c r="B39" s="2">
        <v>46193</v>
      </c>
      <c r="C39" t="s">
        <v>132</v>
      </c>
      <c r="D39" t="s">
        <v>30</v>
      </c>
      <c r="E39" t="s">
        <v>38</v>
      </c>
      <c r="F39" t="s">
        <v>39</v>
      </c>
      <c r="G39" t="s">
        <v>33</v>
      </c>
      <c r="H39" t="s">
        <v>133</v>
      </c>
      <c r="I39">
        <v>4</v>
      </c>
      <c r="J39">
        <v>350</v>
      </c>
      <c r="K39">
        <v>10</v>
      </c>
      <c r="L39" t="s">
        <v>53</v>
      </c>
      <c r="M39" t="s">
        <v>103</v>
      </c>
      <c r="N39">
        <f t="shared" si="0"/>
        <v>1400</v>
      </c>
      <c r="O39">
        <f>Table1[[#This Row],[Gross Sales]]*Table1[[#This Row],[Discount_Pct]]/100</f>
        <v>140</v>
      </c>
      <c r="P39">
        <f>Table1[[#This Row],[Gross Sales]]-Table1[[#This Row],[Discount Amt]]</f>
        <v>1260</v>
      </c>
    </row>
    <row r="40" spans="1:16" x14ac:dyDescent="0.3">
      <c r="A40" t="s">
        <v>134</v>
      </c>
      <c r="B40" s="2">
        <v>46136</v>
      </c>
      <c r="C40" t="s">
        <v>81</v>
      </c>
      <c r="D40" t="s">
        <v>15</v>
      </c>
      <c r="E40" t="s">
        <v>31</v>
      </c>
      <c r="F40" t="s">
        <v>32</v>
      </c>
      <c r="G40" t="s">
        <v>33</v>
      </c>
      <c r="H40" t="s">
        <v>135</v>
      </c>
      <c r="I40">
        <v>5</v>
      </c>
      <c r="J40">
        <v>90</v>
      </c>
      <c r="K40">
        <v>5</v>
      </c>
      <c r="L40" t="s">
        <v>62</v>
      </c>
      <c r="M40" t="s">
        <v>103</v>
      </c>
      <c r="N40">
        <f t="shared" si="0"/>
        <v>450</v>
      </c>
      <c r="O40">
        <f>Table1[[#This Row],[Gross Sales]]*Table1[[#This Row],[Discount_Pct]]/100</f>
        <v>22.5</v>
      </c>
      <c r="P40">
        <f>Table1[[#This Row],[Gross Sales]]-Table1[[#This Row],[Discount Amt]]</f>
        <v>427.5</v>
      </c>
    </row>
    <row r="41" spans="1:16" x14ac:dyDescent="0.3">
      <c r="A41" t="s">
        <v>136</v>
      </c>
      <c r="B41" s="2">
        <v>46191</v>
      </c>
      <c r="C41" t="s">
        <v>137</v>
      </c>
      <c r="D41" t="s">
        <v>24</v>
      </c>
      <c r="E41" t="s">
        <v>122</v>
      </c>
      <c r="F41" t="s">
        <v>17</v>
      </c>
      <c r="G41" t="s">
        <v>25</v>
      </c>
      <c r="H41" t="s">
        <v>89</v>
      </c>
      <c r="I41">
        <v>6</v>
      </c>
      <c r="J41">
        <v>1200</v>
      </c>
      <c r="K41">
        <v>15</v>
      </c>
      <c r="L41" t="s">
        <v>53</v>
      </c>
      <c r="M41" t="s">
        <v>41</v>
      </c>
      <c r="N41">
        <f t="shared" si="0"/>
        <v>7200</v>
      </c>
      <c r="O41">
        <f>Table1[[#This Row],[Gross Sales]]*Table1[[#This Row],[Discount_Pct]]/100</f>
        <v>1080</v>
      </c>
      <c r="P41">
        <f>Table1[[#This Row],[Gross Sales]]-Table1[[#This Row],[Discount Amt]]</f>
        <v>6120</v>
      </c>
    </row>
    <row r="42" spans="1:16" x14ac:dyDescent="0.3">
      <c r="A42" t="s">
        <v>138</v>
      </c>
      <c r="B42" s="2">
        <v>46114</v>
      </c>
      <c r="C42" t="s">
        <v>139</v>
      </c>
      <c r="D42" t="s">
        <v>30</v>
      </c>
      <c r="E42" t="s">
        <v>113</v>
      </c>
      <c r="F42" t="s">
        <v>45</v>
      </c>
      <c r="G42" t="s">
        <v>33</v>
      </c>
      <c r="H42" t="s">
        <v>40</v>
      </c>
      <c r="I42">
        <v>2</v>
      </c>
      <c r="J42">
        <v>120</v>
      </c>
      <c r="K42">
        <v>15</v>
      </c>
      <c r="L42" t="s">
        <v>20</v>
      </c>
      <c r="M42" t="s">
        <v>54</v>
      </c>
      <c r="N42">
        <f t="shared" si="0"/>
        <v>240</v>
      </c>
      <c r="O42">
        <f>Table1[[#This Row],[Gross Sales]]*Table1[[#This Row],[Discount_Pct]]/100</f>
        <v>36</v>
      </c>
      <c r="P42">
        <f>Table1[[#This Row],[Gross Sales]]-Table1[[#This Row],[Discount Amt]]</f>
        <v>204</v>
      </c>
    </row>
    <row r="43" spans="1:16" x14ac:dyDescent="0.3">
      <c r="A43" t="s">
        <v>140</v>
      </c>
      <c r="B43" s="2">
        <v>46082</v>
      </c>
      <c r="C43" t="s">
        <v>141</v>
      </c>
      <c r="D43" t="s">
        <v>15</v>
      </c>
      <c r="E43" t="s">
        <v>75</v>
      </c>
      <c r="F43" t="s">
        <v>32</v>
      </c>
      <c r="G43" t="s">
        <v>18</v>
      </c>
      <c r="H43" t="s">
        <v>58</v>
      </c>
      <c r="I43">
        <v>5</v>
      </c>
      <c r="J43">
        <v>9000</v>
      </c>
      <c r="K43">
        <v>0</v>
      </c>
      <c r="L43" t="s">
        <v>20</v>
      </c>
      <c r="M43" t="s">
        <v>66</v>
      </c>
      <c r="N43">
        <f t="shared" si="0"/>
        <v>45000</v>
      </c>
      <c r="O43">
        <f>Table1[[#This Row],[Gross Sales]]*Table1[[#This Row],[Discount_Pct]]/100</f>
        <v>0</v>
      </c>
      <c r="P43">
        <f>Table1[[#This Row],[Gross Sales]]-Table1[[#This Row],[Discount Amt]]</f>
        <v>45000</v>
      </c>
    </row>
    <row r="44" spans="1:16" x14ac:dyDescent="0.3">
      <c r="A44" t="s">
        <v>142</v>
      </c>
      <c r="B44" s="2">
        <v>46123</v>
      </c>
      <c r="C44" t="s">
        <v>143</v>
      </c>
      <c r="D44" t="s">
        <v>15</v>
      </c>
      <c r="E44" t="s">
        <v>96</v>
      </c>
      <c r="F44" t="s">
        <v>17</v>
      </c>
      <c r="G44" t="s">
        <v>33</v>
      </c>
      <c r="H44" t="s">
        <v>40</v>
      </c>
      <c r="I44">
        <v>6</v>
      </c>
      <c r="J44">
        <v>120</v>
      </c>
      <c r="K44">
        <v>10</v>
      </c>
      <c r="L44" t="s">
        <v>35</v>
      </c>
      <c r="M44" t="s">
        <v>66</v>
      </c>
      <c r="N44">
        <f t="shared" si="0"/>
        <v>720</v>
      </c>
      <c r="O44">
        <f>Table1[[#This Row],[Gross Sales]]*Table1[[#This Row],[Discount_Pct]]/100</f>
        <v>72</v>
      </c>
      <c r="P44">
        <f>Table1[[#This Row],[Gross Sales]]-Table1[[#This Row],[Discount Amt]]</f>
        <v>648</v>
      </c>
    </row>
    <row r="45" spans="1:16" x14ac:dyDescent="0.3">
      <c r="A45" t="s">
        <v>144</v>
      </c>
      <c r="B45" s="2">
        <v>46232</v>
      </c>
      <c r="C45" t="s">
        <v>145</v>
      </c>
      <c r="D45" t="s">
        <v>15</v>
      </c>
      <c r="E45" t="s">
        <v>96</v>
      </c>
      <c r="F45" t="s">
        <v>17</v>
      </c>
      <c r="G45" t="s">
        <v>33</v>
      </c>
      <c r="H45" t="s">
        <v>133</v>
      </c>
      <c r="I45">
        <v>5</v>
      </c>
      <c r="J45">
        <v>350</v>
      </c>
      <c r="K45">
        <v>5</v>
      </c>
      <c r="L45" t="s">
        <v>48</v>
      </c>
      <c r="M45" t="s">
        <v>66</v>
      </c>
      <c r="N45">
        <f t="shared" si="0"/>
        <v>1750</v>
      </c>
      <c r="O45">
        <f>Table1[[#This Row],[Gross Sales]]*Table1[[#This Row],[Discount_Pct]]/100</f>
        <v>87.5</v>
      </c>
      <c r="P45">
        <f>Table1[[#This Row],[Gross Sales]]-Table1[[#This Row],[Discount Amt]]</f>
        <v>1662.5</v>
      </c>
    </row>
    <row r="46" spans="1:16" x14ac:dyDescent="0.3">
      <c r="A46" t="s">
        <v>146</v>
      </c>
      <c r="B46" s="2">
        <v>46112</v>
      </c>
      <c r="C46" t="s">
        <v>147</v>
      </c>
      <c r="D46" t="s">
        <v>24</v>
      </c>
      <c r="E46" t="s">
        <v>113</v>
      </c>
      <c r="F46" t="s">
        <v>45</v>
      </c>
      <c r="G46" t="s">
        <v>18</v>
      </c>
      <c r="H46" t="s">
        <v>19</v>
      </c>
      <c r="I46">
        <v>7</v>
      </c>
      <c r="J46">
        <v>6500</v>
      </c>
      <c r="K46">
        <v>0</v>
      </c>
      <c r="L46" t="s">
        <v>48</v>
      </c>
      <c r="M46" t="s">
        <v>54</v>
      </c>
      <c r="N46">
        <f t="shared" si="0"/>
        <v>45500</v>
      </c>
      <c r="O46">
        <f>Table1[[#This Row],[Gross Sales]]*Table1[[#This Row],[Discount_Pct]]/100</f>
        <v>0</v>
      </c>
      <c r="P46">
        <f>Table1[[#This Row],[Gross Sales]]-Table1[[#This Row],[Discount Amt]]</f>
        <v>45500</v>
      </c>
    </row>
    <row r="47" spans="1:16" x14ac:dyDescent="0.3">
      <c r="A47" t="s">
        <v>148</v>
      </c>
      <c r="B47" s="2">
        <v>46187</v>
      </c>
      <c r="C47" t="s">
        <v>132</v>
      </c>
      <c r="D47" t="s">
        <v>30</v>
      </c>
      <c r="E47" t="s">
        <v>82</v>
      </c>
      <c r="F47" t="s">
        <v>32</v>
      </c>
      <c r="G47" t="s">
        <v>33</v>
      </c>
      <c r="H47" t="s">
        <v>97</v>
      </c>
      <c r="I47">
        <v>4</v>
      </c>
      <c r="J47">
        <v>250</v>
      </c>
      <c r="K47">
        <v>20</v>
      </c>
      <c r="L47" t="s">
        <v>20</v>
      </c>
      <c r="M47" t="s">
        <v>66</v>
      </c>
      <c r="N47">
        <f t="shared" si="0"/>
        <v>1000</v>
      </c>
      <c r="O47">
        <f>Table1[[#This Row],[Gross Sales]]*Table1[[#This Row],[Discount_Pct]]/100</f>
        <v>200</v>
      </c>
      <c r="P47">
        <f>Table1[[#This Row],[Gross Sales]]-Table1[[#This Row],[Discount Amt]]</f>
        <v>800</v>
      </c>
    </row>
    <row r="48" spans="1:16" x14ac:dyDescent="0.3">
      <c r="A48" t="s">
        <v>149</v>
      </c>
      <c r="B48" s="2">
        <v>46194</v>
      </c>
      <c r="C48" t="s">
        <v>150</v>
      </c>
      <c r="D48" t="s">
        <v>24</v>
      </c>
      <c r="E48" t="s">
        <v>118</v>
      </c>
      <c r="F48" t="s">
        <v>17</v>
      </c>
      <c r="G48" t="s">
        <v>25</v>
      </c>
      <c r="H48" t="s">
        <v>151</v>
      </c>
      <c r="I48">
        <v>5</v>
      </c>
      <c r="J48">
        <v>2200</v>
      </c>
      <c r="K48">
        <v>5</v>
      </c>
      <c r="L48" t="s">
        <v>53</v>
      </c>
      <c r="M48" t="s">
        <v>27</v>
      </c>
      <c r="N48">
        <f t="shared" si="0"/>
        <v>11000</v>
      </c>
      <c r="O48">
        <f>Table1[[#This Row],[Gross Sales]]*Table1[[#This Row],[Discount_Pct]]/100</f>
        <v>550</v>
      </c>
      <c r="P48">
        <f>Table1[[#This Row],[Gross Sales]]-Table1[[#This Row],[Discount Amt]]</f>
        <v>10450</v>
      </c>
    </row>
    <row r="49" spans="1:16" x14ac:dyDescent="0.3">
      <c r="A49" t="s">
        <v>152</v>
      </c>
      <c r="B49" s="2">
        <v>46266</v>
      </c>
      <c r="C49" t="s">
        <v>153</v>
      </c>
      <c r="D49" t="s">
        <v>30</v>
      </c>
      <c r="E49" t="s">
        <v>113</v>
      </c>
      <c r="F49" t="s">
        <v>45</v>
      </c>
      <c r="G49" t="s">
        <v>25</v>
      </c>
      <c r="H49" t="s">
        <v>76</v>
      </c>
      <c r="I49">
        <v>7</v>
      </c>
      <c r="J49">
        <v>12500</v>
      </c>
      <c r="K49">
        <v>5</v>
      </c>
      <c r="L49" t="s">
        <v>62</v>
      </c>
      <c r="M49" t="s">
        <v>27</v>
      </c>
      <c r="N49">
        <f t="shared" si="0"/>
        <v>87500</v>
      </c>
      <c r="O49">
        <f>Table1[[#This Row],[Gross Sales]]*Table1[[#This Row],[Discount_Pct]]/100</f>
        <v>4375</v>
      </c>
      <c r="P49">
        <f>Table1[[#This Row],[Gross Sales]]-Table1[[#This Row],[Discount Amt]]</f>
        <v>83125</v>
      </c>
    </row>
    <row r="50" spans="1:16" x14ac:dyDescent="0.3">
      <c r="A50" t="s">
        <v>154</v>
      </c>
      <c r="B50" s="2">
        <v>46025</v>
      </c>
      <c r="C50" t="s">
        <v>155</v>
      </c>
      <c r="D50" t="s">
        <v>24</v>
      </c>
      <c r="E50" t="s">
        <v>156</v>
      </c>
      <c r="F50" t="s">
        <v>39</v>
      </c>
      <c r="G50" t="s">
        <v>25</v>
      </c>
      <c r="H50" t="s">
        <v>76</v>
      </c>
      <c r="I50">
        <v>4</v>
      </c>
      <c r="J50">
        <v>12500</v>
      </c>
      <c r="K50">
        <v>5</v>
      </c>
      <c r="L50" t="s">
        <v>20</v>
      </c>
      <c r="M50" t="s">
        <v>27</v>
      </c>
      <c r="N50">
        <f t="shared" si="0"/>
        <v>50000</v>
      </c>
      <c r="O50">
        <f>Table1[[#This Row],[Gross Sales]]*Table1[[#This Row],[Discount_Pct]]/100</f>
        <v>2500</v>
      </c>
      <c r="P50">
        <f>Table1[[#This Row],[Gross Sales]]-Table1[[#This Row],[Discount Amt]]</f>
        <v>47500</v>
      </c>
    </row>
    <row r="51" spans="1:16" x14ac:dyDescent="0.3">
      <c r="A51" t="s">
        <v>157</v>
      </c>
      <c r="B51" s="2">
        <v>46085</v>
      </c>
      <c r="C51" t="s">
        <v>158</v>
      </c>
      <c r="D51" t="s">
        <v>30</v>
      </c>
      <c r="E51" t="s">
        <v>82</v>
      </c>
      <c r="F51" t="s">
        <v>32</v>
      </c>
      <c r="G51" t="s">
        <v>25</v>
      </c>
      <c r="H51" t="s">
        <v>76</v>
      </c>
      <c r="I51">
        <v>6</v>
      </c>
      <c r="J51">
        <v>12500</v>
      </c>
      <c r="K51">
        <v>20</v>
      </c>
      <c r="L51" t="s">
        <v>20</v>
      </c>
      <c r="M51" t="s">
        <v>103</v>
      </c>
      <c r="N51">
        <f t="shared" si="0"/>
        <v>75000</v>
      </c>
      <c r="O51">
        <f>Table1[[#This Row],[Gross Sales]]*Table1[[#This Row],[Discount_Pct]]/100</f>
        <v>15000</v>
      </c>
      <c r="P51">
        <f>Table1[[#This Row],[Gross Sales]]-Table1[[#This Row],[Discount Amt]]</f>
        <v>60000</v>
      </c>
    </row>
    <row r="52" spans="1:16" x14ac:dyDescent="0.3">
      <c r="A52" t="s">
        <v>159</v>
      </c>
      <c r="B52" s="2">
        <v>46104</v>
      </c>
      <c r="C52" t="s">
        <v>160</v>
      </c>
      <c r="D52" t="s">
        <v>30</v>
      </c>
      <c r="E52" t="s">
        <v>44</v>
      </c>
      <c r="F52" t="s">
        <v>45</v>
      </c>
      <c r="G52" t="s">
        <v>33</v>
      </c>
      <c r="H52" t="s">
        <v>97</v>
      </c>
      <c r="I52">
        <v>5</v>
      </c>
      <c r="J52">
        <v>250</v>
      </c>
      <c r="K52">
        <v>5</v>
      </c>
      <c r="L52" t="s">
        <v>62</v>
      </c>
      <c r="M52" t="s">
        <v>41</v>
      </c>
      <c r="N52">
        <f t="shared" si="0"/>
        <v>1250</v>
      </c>
      <c r="O52">
        <f>Table1[[#This Row],[Gross Sales]]*Table1[[#This Row],[Discount_Pct]]/100</f>
        <v>62.5</v>
      </c>
      <c r="P52">
        <f>Table1[[#This Row],[Gross Sales]]-Table1[[#This Row],[Discount Amt]]</f>
        <v>1187.5</v>
      </c>
    </row>
    <row r="53" spans="1:16" x14ac:dyDescent="0.3">
      <c r="A53" t="s">
        <v>161</v>
      </c>
      <c r="B53" s="2">
        <v>46248</v>
      </c>
      <c r="C53" t="s">
        <v>162</v>
      </c>
      <c r="D53" t="s">
        <v>15</v>
      </c>
      <c r="E53" t="s">
        <v>118</v>
      </c>
      <c r="F53" t="s">
        <v>17</v>
      </c>
      <c r="G53" t="s">
        <v>18</v>
      </c>
      <c r="H53" t="s">
        <v>19</v>
      </c>
      <c r="I53">
        <v>4</v>
      </c>
      <c r="J53">
        <v>6500</v>
      </c>
      <c r="K53">
        <v>10</v>
      </c>
      <c r="L53" t="s">
        <v>53</v>
      </c>
      <c r="M53" t="s">
        <v>27</v>
      </c>
      <c r="N53">
        <f t="shared" si="0"/>
        <v>26000</v>
      </c>
      <c r="O53">
        <f>Table1[[#This Row],[Gross Sales]]*Table1[[#This Row],[Discount_Pct]]/100</f>
        <v>2600</v>
      </c>
      <c r="P53">
        <f>Table1[[#This Row],[Gross Sales]]-Table1[[#This Row],[Discount Amt]]</f>
        <v>23400</v>
      </c>
    </row>
    <row r="54" spans="1:16" x14ac:dyDescent="0.3">
      <c r="A54" t="s">
        <v>163</v>
      </c>
      <c r="B54" s="2">
        <v>46100</v>
      </c>
      <c r="C54" t="s">
        <v>164</v>
      </c>
      <c r="D54" t="s">
        <v>30</v>
      </c>
      <c r="E54" t="s">
        <v>31</v>
      </c>
      <c r="F54" t="s">
        <v>32</v>
      </c>
      <c r="G54" t="s">
        <v>33</v>
      </c>
      <c r="H54" t="s">
        <v>133</v>
      </c>
      <c r="I54">
        <v>3</v>
      </c>
      <c r="J54">
        <v>350</v>
      </c>
      <c r="K54">
        <v>5</v>
      </c>
      <c r="L54" t="s">
        <v>35</v>
      </c>
      <c r="M54" t="s">
        <v>54</v>
      </c>
      <c r="N54">
        <f t="shared" si="0"/>
        <v>1050</v>
      </c>
      <c r="O54">
        <f>Table1[[#This Row],[Gross Sales]]*Table1[[#This Row],[Discount_Pct]]/100</f>
        <v>52.5</v>
      </c>
      <c r="P54">
        <f>Table1[[#This Row],[Gross Sales]]-Table1[[#This Row],[Discount Amt]]</f>
        <v>997.5</v>
      </c>
    </row>
    <row r="55" spans="1:16" x14ac:dyDescent="0.3">
      <c r="A55" t="s">
        <v>165</v>
      </c>
      <c r="B55" s="2">
        <v>46261</v>
      </c>
      <c r="C55" t="s">
        <v>166</v>
      </c>
      <c r="D55" t="s">
        <v>15</v>
      </c>
      <c r="E55" t="s">
        <v>75</v>
      </c>
      <c r="F55" t="s">
        <v>32</v>
      </c>
      <c r="G55" t="s">
        <v>25</v>
      </c>
      <c r="H55" t="s">
        <v>61</v>
      </c>
      <c r="I55">
        <v>7</v>
      </c>
      <c r="J55">
        <v>450</v>
      </c>
      <c r="K55">
        <v>15</v>
      </c>
      <c r="L55" t="s">
        <v>48</v>
      </c>
      <c r="M55" t="s">
        <v>103</v>
      </c>
      <c r="N55">
        <f t="shared" si="0"/>
        <v>3150</v>
      </c>
      <c r="O55">
        <f>Table1[[#This Row],[Gross Sales]]*Table1[[#This Row],[Discount_Pct]]/100</f>
        <v>472.5</v>
      </c>
      <c r="P55">
        <f>Table1[[#This Row],[Gross Sales]]-Table1[[#This Row],[Discount Amt]]</f>
        <v>2677.5</v>
      </c>
    </row>
    <row r="56" spans="1:16" x14ac:dyDescent="0.3">
      <c r="A56" t="s">
        <v>167</v>
      </c>
      <c r="B56" s="2">
        <v>46026</v>
      </c>
      <c r="C56" t="s">
        <v>168</v>
      </c>
      <c r="D56" t="s">
        <v>30</v>
      </c>
      <c r="E56" t="s">
        <v>96</v>
      </c>
      <c r="F56" t="s">
        <v>17</v>
      </c>
      <c r="G56" t="s">
        <v>33</v>
      </c>
      <c r="H56" t="s">
        <v>97</v>
      </c>
      <c r="I56">
        <v>7</v>
      </c>
      <c r="J56">
        <v>250</v>
      </c>
      <c r="K56">
        <v>5</v>
      </c>
      <c r="L56" t="s">
        <v>48</v>
      </c>
      <c r="M56" t="s">
        <v>103</v>
      </c>
      <c r="N56">
        <f t="shared" si="0"/>
        <v>1750</v>
      </c>
      <c r="O56">
        <f>Table1[[#This Row],[Gross Sales]]*Table1[[#This Row],[Discount_Pct]]/100</f>
        <v>87.5</v>
      </c>
      <c r="P56">
        <f>Table1[[#This Row],[Gross Sales]]-Table1[[#This Row],[Discount Amt]]</f>
        <v>1662.5</v>
      </c>
    </row>
    <row r="57" spans="1:16" x14ac:dyDescent="0.3">
      <c r="A57" t="s">
        <v>169</v>
      </c>
      <c r="B57" s="2">
        <v>46037</v>
      </c>
      <c r="C57" t="s">
        <v>170</v>
      </c>
      <c r="D57" t="s">
        <v>15</v>
      </c>
      <c r="E57" t="s">
        <v>75</v>
      </c>
      <c r="F57" t="s">
        <v>32</v>
      </c>
      <c r="G57" t="s">
        <v>33</v>
      </c>
      <c r="H57" t="s">
        <v>133</v>
      </c>
      <c r="I57">
        <v>7</v>
      </c>
      <c r="J57">
        <v>350</v>
      </c>
      <c r="K57">
        <v>5</v>
      </c>
      <c r="L57" t="s">
        <v>20</v>
      </c>
      <c r="M57" t="s">
        <v>21</v>
      </c>
      <c r="N57">
        <f t="shared" si="0"/>
        <v>2450</v>
      </c>
      <c r="O57">
        <f>Table1[[#This Row],[Gross Sales]]*Table1[[#This Row],[Discount_Pct]]/100</f>
        <v>122.5</v>
      </c>
      <c r="P57">
        <f>Table1[[#This Row],[Gross Sales]]-Table1[[#This Row],[Discount Amt]]</f>
        <v>2327.5</v>
      </c>
    </row>
    <row r="58" spans="1:16" x14ac:dyDescent="0.3">
      <c r="A58" t="s">
        <v>171</v>
      </c>
      <c r="B58" s="2">
        <v>46224</v>
      </c>
      <c r="C58" t="s">
        <v>172</v>
      </c>
      <c r="D58" t="s">
        <v>24</v>
      </c>
      <c r="E58" t="s">
        <v>113</v>
      </c>
      <c r="F58" t="s">
        <v>45</v>
      </c>
      <c r="G58" t="s">
        <v>18</v>
      </c>
      <c r="H58" t="s">
        <v>102</v>
      </c>
      <c r="I58">
        <v>2</v>
      </c>
      <c r="J58">
        <v>7500</v>
      </c>
      <c r="K58">
        <v>15</v>
      </c>
      <c r="L58" t="s">
        <v>53</v>
      </c>
      <c r="M58" t="s">
        <v>41</v>
      </c>
      <c r="N58">
        <f t="shared" si="0"/>
        <v>15000</v>
      </c>
      <c r="O58">
        <f>Table1[[#This Row],[Gross Sales]]*Table1[[#This Row],[Discount_Pct]]/100</f>
        <v>2250</v>
      </c>
      <c r="P58">
        <f>Table1[[#This Row],[Gross Sales]]-Table1[[#This Row],[Discount Amt]]</f>
        <v>12750</v>
      </c>
    </row>
    <row r="59" spans="1:16" x14ac:dyDescent="0.3">
      <c r="A59" t="s">
        <v>173</v>
      </c>
      <c r="B59" s="2">
        <v>46217</v>
      </c>
      <c r="C59" t="s">
        <v>56</v>
      </c>
      <c r="D59" t="s">
        <v>30</v>
      </c>
      <c r="E59" t="s">
        <v>96</v>
      </c>
      <c r="F59" t="s">
        <v>17</v>
      </c>
      <c r="G59" t="s">
        <v>25</v>
      </c>
      <c r="H59" t="s">
        <v>76</v>
      </c>
      <c r="I59">
        <v>6</v>
      </c>
      <c r="J59">
        <v>12500</v>
      </c>
      <c r="K59">
        <v>10</v>
      </c>
      <c r="L59" t="s">
        <v>35</v>
      </c>
      <c r="M59" t="s">
        <v>21</v>
      </c>
      <c r="N59">
        <f t="shared" si="0"/>
        <v>75000</v>
      </c>
      <c r="O59">
        <f>Table1[[#This Row],[Gross Sales]]*Table1[[#This Row],[Discount_Pct]]/100</f>
        <v>7500</v>
      </c>
      <c r="P59">
        <f>Table1[[#This Row],[Gross Sales]]-Table1[[#This Row],[Discount Amt]]</f>
        <v>67500</v>
      </c>
    </row>
    <row r="60" spans="1:16" x14ac:dyDescent="0.3">
      <c r="A60" t="s">
        <v>174</v>
      </c>
      <c r="B60" s="2">
        <v>46263</v>
      </c>
      <c r="C60" t="s">
        <v>175</v>
      </c>
      <c r="D60" t="s">
        <v>15</v>
      </c>
      <c r="E60" t="s">
        <v>16</v>
      </c>
      <c r="F60" t="s">
        <v>17</v>
      </c>
      <c r="G60" t="s">
        <v>18</v>
      </c>
      <c r="H60" t="s">
        <v>79</v>
      </c>
      <c r="I60">
        <v>1</v>
      </c>
      <c r="J60">
        <v>1600</v>
      </c>
      <c r="K60">
        <v>10</v>
      </c>
      <c r="L60" t="s">
        <v>53</v>
      </c>
      <c r="M60" t="s">
        <v>21</v>
      </c>
      <c r="N60">
        <f t="shared" si="0"/>
        <v>1600</v>
      </c>
      <c r="O60">
        <f>Table1[[#This Row],[Gross Sales]]*Table1[[#This Row],[Discount_Pct]]/100</f>
        <v>160</v>
      </c>
      <c r="P60">
        <f>Table1[[#This Row],[Gross Sales]]-Table1[[#This Row],[Discount Amt]]</f>
        <v>1440</v>
      </c>
    </row>
    <row r="61" spans="1:16" x14ac:dyDescent="0.3">
      <c r="A61" t="s">
        <v>176</v>
      </c>
      <c r="B61" s="2">
        <v>46149</v>
      </c>
      <c r="C61" t="s">
        <v>172</v>
      </c>
      <c r="D61" t="s">
        <v>15</v>
      </c>
      <c r="E61" t="s">
        <v>31</v>
      </c>
      <c r="F61" t="s">
        <v>32</v>
      </c>
      <c r="G61" t="s">
        <v>25</v>
      </c>
      <c r="H61" t="s">
        <v>100</v>
      </c>
      <c r="I61">
        <v>3</v>
      </c>
      <c r="J61">
        <v>1800</v>
      </c>
      <c r="K61">
        <v>5</v>
      </c>
      <c r="L61" t="s">
        <v>53</v>
      </c>
      <c r="M61" t="s">
        <v>54</v>
      </c>
      <c r="N61">
        <f t="shared" si="0"/>
        <v>5400</v>
      </c>
      <c r="O61">
        <f>Table1[[#This Row],[Gross Sales]]*Table1[[#This Row],[Discount_Pct]]/100</f>
        <v>270</v>
      </c>
      <c r="P61">
        <f>Table1[[#This Row],[Gross Sales]]-Table1[[#This Row],[Discount Amt]]</f>
        <v>5130</v>
      </c>
    </row>
    <row r="62" spans="1:16" x14ac:dyDescent="0.3">
      <c r="A62" t="s">
        <v>177</v>
      </c>
      <c r="B62" s="2">
        <v>46134</v>
      </c>
      <c r="C62" t="s">
        <v>178</v>
      </c>
      <c r="D62" t="s">
        <v>15</v>
      </c>
      <c r="E62" t="s">
        <v>82</v>
      </c>
      <c r="F62" t="s">
        <v>32</v>
      </c>
      <c r="G62" t="s">
        <v>18</v>
      </c>
      <c r="H62" t="s">
        <v>19</v>
      </c>
      <c r="I62">
        <v>6</v>
      </c>
      <c r="J62">
        <v>6500</v>
      </c>
      <c r="K62">
        <v>5</v>
      </c>
      <c r="L62" t="s">
        <v>53</v>
      </c>
      <c r="M62" t="s">
        <v>27</v>
      </c>
      <c r="N62">
        <f t="shared" si="0"/>
        <v>39000</v>
      </c>
      <c r="O62">
        <f>Table1[[#This Row],[Gross Sales]]*Table1[[#This Row],[Discount_Pct]]/100</f>
        <v>1950</v>
      </c>
      <c r="P62">
        <f>Table1[[#This Row],[Gross Sales]]-Table1[[#This Row],[Discount Amt]]</f>
        <v>37050</v>
      </c>
    </row>
    <row r="63" spans="1:16" x14ac:dyDescent="0.3">
      <c r="A63" t="s">
        <v>179</v>
      </c>
      <c r="B63" s="2">
        <v>46182</v>
      </c>
      <c r="C63" t="s">
        <v>180</v>
      </c>
      <c r="D63" t="s">
        <v>24</v>
      </c>
      <c r="E63" t="s">
        <v>118</v>
      </c>
      <c r="F63" t="s">
        <v>17</v>
      </c>
      <c r="G63" t="s">
        <v>18</v>
      </c>
      <c r="H63" t="s">
        <v>102</v>
      </c>
      <c r="I63">
        <v>5</v>
      </c>
      <c r="J63">
        <v>7500</v>
      </c>
      <c r="K63">
        <v>15</v>
      </c>
      <c r="L63" t="s">
        <v>20</v>
      </c>
      <c r="M63" t="s">
        <v>66</v>
      </c>
      <c r="N63">
        <f t="shared" si="0"/>
        <v>37500</v>
      </c>
      <c r="O63">
        <f>Table1[[#This Row],[Gross Sales]]*Table1[[#This Row],[Discount_Pct]]/100</f>
        <v>5625</v>
      </c>
      <c r="P63">
        <f>Table1[[#This Row],[Gross Sales]]-Table1[[#This Row],[Discount Amt]]</f>
        <v>31875</v>
      </c>
    </row>
    <row r="64" spans="1:16" x14ac:dyDescent="0.3">
      <c r="A64" t="s">
        <v>181</v>
      </c>
      <c r="B64" s="2">
        <v>46147</v>
      </c>
      <c r="C64" t="s">
        <v>182</v>
      </c>
      <c r="D64" t="s">
        <v>30</v>
      </c>
      <c r="E64" t="s">
        <v>118</v>
      </c>
      <c r="F64" t="s">
        <v>17</v>
      </c>
      <c r="G64" t="s">
        <v>18</v>
      </c>
      <c r="H64" t="s">
        <v>19</v>
      </c>
      <c r="I64">
        <v>2</v>
      </c>
      <c r="J64">
        <v>6500</v>
      </c>
      <c r="K64">
        <v>0</v>
      </c>
      <c r="L64" t="s">
        <v>35</v>
      </c>
      <c r="M64" t="s">
        <v>21</v>
      </c>
      <c r="N64">
        <f t="shared" si="0"/>
        <v>13000</v>
      </c>
      <c r="O64">
        <f>Table1[[#This Row],[Gross Sales]]*Table1[[#This Row],[Discount_Pct]]/100</f>
        <v>0</v>
      </c>
      <c r="P64">
        <f>Table1[[#This Row],[Gross Sales]]-Table1[[#This Row],[Discount Amt]]</f>
        <v>13000</v>
      </c>
    </row>
    <row r="65" spans="1:16" x14ac:dyDescent="0.3">
      <c r="A65" t="s">
        <v>183</v>
      </c>
      <c r="B65" s="2">
        <v>46282</v>
      </c>
      <c r="C65" t="s">
        <v>184</v>
      </c>
      <c r="D65" t="s">
        <v>30</v>
      </c>
      <c r="E65" t="s">
        <v>51</v>
      </c>
      <c r="F65" t="s">
        <v>45</v>
      </c>
      <c r="G65" t="s">
        <v>33</v>
      </c>
      <c r="H65" t="s">
        <v>40</v>
      </c>
      <c r="I65">
        <v>7</v>
      </c>
      <c r="J65">
        <v>120</v>
      </c>
      <c r="K65">
        <v>20</v>
      </c>
      <c r="L65" t="s">
        <v>48</v>
      </c>
      <c r="M65" t="s">
        <v>66</v>
      </c>
      <c r="N65">
        <f t="shared" si="0"/>
        <v>840</v>
      </c>
      <c r="O65">
        <f>Table1[[#This Row],[Gross Sales]]*Table1[[#This Row],[Discount_Pct]]/100</f>
        <v>168</v>
      </c>
      <c r="P65">
        <f>Table1[[#This Row],[Gross Sales]]-Table1[[#This Row],[Discount Amt]]</f>
        <v>672</v>
      </c>
    </row>
    <row r="66" spans="1:16" x14ac:dyDescent="0.3">
      <c r="A66" t="s">
        <v>185</v>
      </c>
      <c r="B66" s="2">
        <v>46101</v>
      </c>
      <c r="C66" t="s">
        <v>186</v>
      </c>
      <c r="D66" t="s">
        <v>15</v>
      </c>
      <c r="E66" t="s">
        <v>187</v>
      </c>
      <c r="F66" t="s">
        <v>32</v>
      </c>
      <c r="G66" t="s">
        <v>25</v>
      </c>
      <c r="H66" t="s">
        <v>151</v>
      </c>
      <c r="I66">
        <v>5</v>
      </c>
      <c r="J66">
        <v>2200</v>
      </c>
      <c r="K66">
        <v>20</v>
      </c>
      <c r="L66" t="s">
        <v>20</v>
      </c>
      <c r="M66" t="s">
        <v>41</v>
      </c>
      <c r="N66">
        <f t="shared" si="0"/>
        <v>11000</v>
      </c>
      <c r="O66">
        <f>Table1[[#This Row],[Gross Sales]]*Table1[[#This Row],[Discount_Pct]]/100</f>
        <v>2200</v>
      </c>
      <c r="P66">
        <f>Table1[[#This Row],[Gross Sales]]-Table1[[#This Row],[Discount Amt]]</f>
        <v>8800</v>
      </c>
    </row>
    <row r="67" spans="1:16" x14ac:dyDescent="0.3">
      <c r="A67" t="s">
        <v>188</v>
      </c>
      <c r="B67" s="2">
        <v>46188</v>
      </c>
      <c r="C67" t="s">
        <v>189</v>
      </c>
      <c r="D67" t="s">
        <v>15</v>
      </c>
      <c r="E67" t="s">
        <v>60</v>
      </c>
      <c r="F67" t="s">
        <v>39</v>
      </c>
      <c r="G67" t="s">
        <v>25</v>
      </c>
      <c r="H67" t="s">
        <v>26</v>
      </c>
      <c r="I67">
        <v>5</v>
      </c>
      <c r="J67">
        <v>700</v>
      </c>
      <c r="K67">
        <v>20</v>
      </c>
      <c r="L67" t="s">
        <v>20</v>
      </c>
      <c r="M67" t="s">
        <v>66</v>
      </c>
      <c r="N67">
        <f t="shared" ref="N67:N130" si="1">I67*J67</f>
        <v>3500</v>
      </c>
      <c r="O67">
        <f>Table1[[#This Row],[Gross Sales]]*Table1[[#This Row],[Discount_Pct]]/100</f>
        <v>700</v>
      </c>
      <c r="P67">
        <f>Table1[[#This Row],[Gross Sales]]-Table1[[#This Row],[Discount Amt]]</f>
        <v>2800</v>
      </c>
    </row>
    <row r="68" spans="1:16" x14ac:dyDescent="0.3">
      <c r="A68" t="s">
        <v>190</v>
      </c>
      <c r="B68" s="2">
        <v>46217</v>
      </c>
      <c r="C68" t="s">
        <v>168</v>
      </c>
      <c r="D68" t="s">
        <v>30</v>
      </c>
      <c r="E68" t="s">
        <v>96</v>
      </c>
      <c r="F68" t="s">
        <v>17</v>
      </c>
      <c r="G68" t="s">
        <v>25</v>
      </c>
      <c r="H68" t="s">
        <v>76</v>
      </c>
      <c r="I68">
        <v>6</v>
      </c>
      <c r="J68">
        <v>12500</v>
      </c>
      <c r="K68">
        <v>5</v>
      </c>
      <c r="L68" t="s">
        <v>35</v>
      </c>
      <c r="M68" t="s">
        <v>41</v>
      </c>
      <c r="N68">
        <f t="shared" si="1"/>
        <v>75000</v>
      </c>
      <c r="O68">
        <f>Table1[[#This Row],[Gross Sales]]*Table1[[#This Row],[Discount_Pct]]/100</f>
        <v>3750</v>
      </c>
      <c r="P68">
        <f>Table1[[#This Row],[Gross Sales]]-Table1[[#This Row],[Discount Amt]]</f>
        <v>71250</v>
      </c>
    </row>
    <row r="69" spans="1:16" x14ac:dyDescent="0.3">
      <c r="A69" t="s">
        <v>191</v>
      </c>
      <c r="B69" s="2">
        <v>46166</v>
      </c>
      <c r="C69" t="s">
        <v>47</v>
      </c>
      <c r="D69" t="s">
        <v>15</v>
      </c>
      <c r="E69" t="s">
        <v>156</v>
      </c>
      <c r="F69" t="s">
        <v>39</v>
      </c>
      <c r="G69" t="s">
        <v>18</v>
      </c>
      <c r="H69" t="s">
        <v>19</v>
      </c>
      <c r="I69">
        <v>1</v>
      </c>
      <c r="J69">
        <v>6500</v>
      </c>
      <c r="K69">
        <v>5</v>
      </c>
      <c r="L69" t="s">
        <v>48</v>
      </c>
      <c r="M69" t="s">
        <v>103</v>
      </c>
      <c r="N69">
        <f t="shared" si="1"/>
        <v>6500</v>
      </c>
      <c r="O69">
        <f>Table1[[#This Row],[Gross Sales]]*Table1[[#This Row],[Discount_Pct]]/100</f>
        <v>325</v>
      </c>
      <c r="P69">
        <f>Table1[[#This Row],[Gross Sales]]-Table1[[#This Row],[Discount Amt]]</f>
        <v>6175</v>
      </c>
    </row>
    <row r="70" spans="1:16" x14ac:dyDescent="0.3">
      <c r="A70" t="s">
        <v>192</v>
      </c>
      <c r="B70" s="2">
        <v>46146</v>
      </c>
      <c r="C70" t="s">
        <v>193</v>
      </c>
      <c r="D70" t="s">
        <v>30</v>
      </c>
      <c r="E70" t="s">
        <v>44</v>
      </c>
      <c r="F70" t="s">
        <v>45</v>
      </c>
      <c r="G70" t="s">
        <v>33</v>
      </c>
      <c r="H70" t="s">
        <v>133</v>
      </c>
      <c r="I70">
        <v>8</v>
      </c>
      <c r="J70">
        <v>350</v>
      </c>
      <c r="K70">
        <v>20</v>
      </c>
      <c r="L70" t="s">
        <v>62</v>
      </c>
      <c r="M70" t="s">
        <v>103</v>
      </c>
      <c r="N70">
        <f t="shared" si="1"/>
        <v>2800</v>
      </c>
      <c r="O70">
        <f>Table1[[#This Row],[Gross Sales]]*Table1[[#This Row],[Discount_Pct]]/100</f>
        <v>560</v>
      </c>
      <c r="P70">
        <f>Table1[[#This Row],[Gross Sales]]-Table1[[#This Row],[Discount Amt]]</f>
        <v>2240</v>
      </c>
    </row>
    <row r="71" spans="1:16" x14ac:dyDescent="0.3">
      <c r="A71" t="s">
        <v>194</v>
      </c>
      <c r="B71" s="2">
        <v>46147</v>
      </c>
      <c r="C71" t="s">
        <v>195</v>
      </c>
      <c r="D71" t="s">
        <v>30</v>
      </c>
      <c r="E71" t="s">
        <v>122</v>
      </c>
      <c r="F71" t="s">
        <v>17</v>
      </c>
      <c r="G71" t="s">
        <v>18</v>
      </c>
      <c r="H71" t="s">
        <v>79</v>
      </c>
      <c r="I71">
        <v>6</v>
      </c>
      <c r="J71">
        <v>1600</v>
      </c>
      <c r="K71">
        <v>20</v>
      </c>
      <c r="L71" t="s">
        <v>48</v>
      </c>
      <c r="M71" t="s">
        <v>66</v>
      </c>
      <c r="N71">
        <f t="shared" si="1"/>
        <v>9600</v>
      </c>
      <c r="O71">
        <f>Table1[[#This Row],[Gross Sales]]*Table1[[#This Row],[Discount_Pct]]/100</f>
        <v>1920</v>
      </c>
      <c r="P71">
        <f>Table1[[#This Row],[Gross Sales]]-Table1[[#This Row],[Discount Amt]]</f>
        <v>7680</v>
      </c>
    </row>
    <row r="72" spans="1:16" x14ac:dyDescent="0.3">
      <c r="A72" t="s">
        <v>196</v>
      </c>
      <c r="B72" s="2">
        <v>46192</v>
      </c>
      <c r="C72" t="s">
        <v>197</v>
      </c>
      <c r="D72" t="s">
        <v>24</v>
      </c>
      <c r="E72" t="s">
        <v>96</v>
      </c>
      <c r="F72" t="s">
        <v>17</v>
      </c>
      <c r="G72" t="s">
        <v>18</v>
      </c>
      <c r="H72" t="s">
        <v>65</v>
      </c>
      <c r="I72">
        <v>5</v>
      </c>
      <c r="J72">
        <v>8200</v>
      </c>
      <c r="K72">
        <v>10</v>
      </c>
      <c r="L72" t="s">
        <v>62</v>
      </c>
      <c r="M72" t="s">
        <v>41</v>
      </c>
      <c r="N72">
        <f t="shared" si="1"/>
        <v>41000</v>
      </c>
      <c r="O72">
        <f>Table1[[#This Row],[Gross Sales]]*Table1[[#This Row],[Discount_Pct]]/100</f>
        <v>4100</v>
      </c>
      <c r="P72">
        <f>Table1[[#This Row],[Gross Sales]]-Table1[[#This Row],[Discount Amt]]</f>
        <v>36900</v>
      </c>
    </row>
    <row r="73" spans="1:16" x14ac:dyDescent="0.3">
      <c r="A73" t="s">
        <v>198</v>
      </c>
      <c r="B73" s="2">
        <v>46084</v>
      </c>
      <c r="C73" t="s">
        <v>199</v>
      </c>
      <c r="D73" t="s">
        <v>15</v>
      </c>
      <c r="E73" t="s">
        <v>44</v>
      </c>
      <c r="F73" t="s">
        <v>45</v>
      </c>
      <c r="G73" t="s">
        <v>18</v>
      </c>
      <c r="H73" t="s">
        <v>58</v>
      </c>
      <c r="I73">
        <v>4</v>
      </c>
      <c r="J73">
        <v>9000</v>
      </c>
      <c r="K73">
        <v>5</v>
      </c>
      <c r="L73" t="s">
        <v>20</v>
      </c>
      <c r="M73" t="s">
        <v>54</v>
      </c>
      <c r="N73">
        <f t="shared" si="1"/>
        <v>36000</v>
      </c>
      <c r="O73">
        <f>Table1[[#This Row],[Gross Sales]]*Table1[[#This Row],[Discount_Pct]]/100</f>
        <v>1800</v>
      </c>
      <c r="P73">
        <f>Table1[[#This Row],[Gross Sales]]-Table1[[#This Row],[Discount Amt]]</f>
        <v>34200</v>
      </c>
    </row>
    <row r="74" spans="1:16" x14ac:dyDescent="0.3">
      <c r="A74" t="s">
        <v>200</v>
      </c>
      <c r="B74" s="2">
        <v>46167</v>
      </c>
      <c r="C74" t="s">
        <v>201</v>
      </c>
      <c r="D74" t="s">
        <v>24</v>
      </c>
      <c r="E74" t="s">
        <v>118</v>
      </c>
      <c r="F74" t="s">
        <v>17</v>
      </c>
      <c r="G74" t="s">
        <v>25</v>
      </c>
      <c r="H74" t="s">
        <v>89</v>
      </c>
      <c r="I74">
        <v>4</v>
      </c>
      <c r="J74">
        <v>1200</v>
      </c>
      <c r="K74">
        <v>10</v>
      </c>
      <c r="L74" t="s">
        <v>20</v>
      </c>
      <c r="M74" t="s">
        <v>27</v>
      </c>
      <c r="N74">
        <f t="shared" si="1"/>
        <v>4800</v>
      </c>
      <c r="O74">
        <f>Table1[[#This Row],[Gross Sales]]*Table1[[#This Row],[Discount_Pct]]/100</f>
        <v>480</v>
      </c>
      <c r="P74">
        <f>Table1[[#This Row],[Gross Sales]]-Table1[[#This Row],[Discount Amt]]</f>
        <v>4320</v>
      </c>
    </row>
    <row r="75" spans="1:16" x14ac:dyDescent="0.3">
      <c r="A75" t="s">
        <v>202</v>
      </c>
      <c r="B75" s="2">
        <v>46163</v>
      </c>
      <c r="C75" t="s">
        <v>203</v>
      </c>
      <c r="D75" t="s">
        <v>24</v>
      </c>
      <c r="E75" t="s">
        <v>16</v>
      </c>
      <c r="F75" t="s">
        <v>17</v>
      </c>
      <c r="G75" t="s">
        <v>25</v>
      </c>
      <c r="H75" t="s">
        <v>100</v>
      </c>
      <c r="I75">
        <v>5</v>
      </c>
      <c r="J75">
        <v>1800</v>
      </c>
      <c r="K75">
        <v>5</v>
      </c>
      <c r="L75" t="s">
        <v>20</v>
      </c>
      <c r="M75" t="s">
        <v>41</v>
      </c>
      <c r="N75">
        <f t="shared" si="1"/>
        <v>9000</v>
      </c>
      <c r="O75">
        <f>Table1[[#This Row],[Gross Sales]]*Table1[[#This Row],[Discount_Pct]]/100</f>
        <v>450</v>
      </c>
      <c r="P75">
        <f>Table1[[#This Row],[Gross Sales]]-Table1[[#This Row],[Discount Amt]]</f>
        <v>8550</v>
      </c>
    </row>
    <row r="76" spans="1:16" x14ac:dyDescent="0.3">
      <c r="A76" t="s">
        <v>204</v>
      </c>
      <c r="B76" s="2">
        <v>46263</v>
      </c>
      <c r="C76" t="s">
        <v>205</v>
      </c>
      <c r="D76" t="s">
        <v>24</v>
      </c>
      <c r="E76" t="s">
        <v>82</v>
      </c>
      <c r="F76" t="s">
        <v>32</v>
      </c>
      <c r="G76" t="s">
        <v>33</v>
      </c>
      <c r="H76" t="s">
        <v>135</v>
      </c>
      <c r="I76">
        <v>3</v>
      </c>
      <c r="J76">
        <v>90</v>
      </c>
      <c r="K76">
        <v>0</v>
      </c>
      <c r="L76" t="s">
        <v>53</v>
      </c>
      <c r="M76" t="s">
        <v>103</v>
      </c>
      <c r="N76">
        <f t="shared" si="1"/>
        <v>270</v>
      </c>
      <c r="O76">
        <f>Table1[[#This Row],[Gross Sales]]*Table1[[#This Row],[Discount_Pct]]/100</f>
        <v>0</v>
      </c>
      <c r="P76">
        <f>Table1[[#This Row],[Gross Sales]]-Table1[[#This Row],[Discount Amt]]</f>
        <v>270</v>
      </c>
    </row>
    <row r="77" spans="1:16" x14ac:dyDescent="0.3">
      <c r="A77" t="s">
        <v>206</v>
      </c>
      <c r="B77" s="2">
        <v>46274</v>
      </c>
      <c r="C77" t="s">
        <v>207</v>
      </c>
      <c r="D77" t="s">
        <v>24</v>
      </c>
      <c r="E77" t="s">
        <v>118</v>
      </c>
      <c r="F77" t="s">
        <v>17</v>
      </c>
      <c r="G77" t="s">
        <v>18</v>
      </c>
      <c r="H77" t="s">
        <v>102</v>
      </c>
      <c r="I77">
        <v>3</v>
      </c>
      <c r="J77">
        <v>7500</v>
      </c>
      <c r="K77">
        <v>5</v>
      </c>
      <c r="L77" t="s">
        <v>62</v>
      </c>
      <c r="M77" t="s">
        <v>21</v>
      </c>
      <c r="N77">
        <f t="shared" si="1"/>
        <v>22500</v>
      </c>
      <c r="O77">
        <f>Table1[[#This Row],[Gross Sales]]*Table1[[#This Row],[Discount_Pct]]/100</f>
        <v>1125</v>
      </c>
      <c r="P77">
        <f>Table1[[#This Row],[Gross Sales]]-Table1[[#This Row],[Discount Amt]]</f>
        <v>21375</v>
      </c>
    </row>
    <row r="78" spans="1:16" x14ac:dyDescent="0.3">
      <c r="A78" t="s">
        <v>208</v>
      </c>
      <c r="B78" s="2">
        <v>46236</v>
      </c>
      <c r="C78" t="s">
        <v>209</v>
      </c>
      <c r="D78" t="s">
        <v>30</v>
      </c>
      <c r="E78" t="s">
        <v>113</v>
      </c>
      <c r="F78" t="s">
        <v>45</v>
      </c>
      <c r="G78" t="s">
        <v>18</v>
      </c>
      <c r="H78" t="s">
        <v>79</v>
      </c>
      <c r="I78">
        <v>4</v>
      </c>
      <c r="J78">
        <v>1600</v>
      </c>
      <c r="K78">
        <v>15</v>
      </c>
      <c r="L78" t="s">
        <v>20</v>
      </c>
      <c r="M78" t="s">
        <v>103</v>
      </c>
      <c r="N78">
        <f t="shared" si="1"/>
        <v>6400</v>
      </c>
      <c r="O78">
        <f>Table1[[#This Row],[Gross Sales]]*Table1[[#This Row],[Discount_Pct]]/100</f>
        <v>960</v>
      </c>
      <c r="P78">
        <f>Table1[[#This Row],[Gross Sales]]-Table1[[#This Row],[Discount Amt]]</f>
        <v>5440</v>
      </c>
    </row>
    <row r="79" spans="1:16" x14ac:dyDescent="0.3">
      <c r="A79" t="s">
        <v>210</v>
      </c>
      <c r="B79" s="2">
        <v>46179</v>
      </c>
      <c r="C79" t="s">
        <v>50</v>
      </c>
      <c r="D79" t="s">
        <v>15</v>
      </c>
      <c r="E79" t="s">
        <v>113</v>
      </c>
      <c r="F79" t="s">
        <v>45</v>
      </c>
      <c r="G79" t="s">
        <v>18</v>
      </c>
      <c r="H79" t="s">
        <v>102</v>
      </c>
      <c r="I79">
        <v>2</v>
      </c>
      <c r="J79">
        <v>7500</v>
      </c>
      <c r="K79">
        <v>5</v>
      </c>
      <c r="L79" t="s">
        <v>53</v>
      </c>
      <c r="M79" t="s">
        <v>27</v>
      </c>
      <c r="N79">
        <f t="shared" si="1"/>
        <v>15000</v>
      </c>
      <c r="O79">
        <f>Table1[[#This Row],[Gross Sales]]*Table1[[#This Row],[Discount_Pct]]/100</f>
        <v>750</v>
      </c>
      <c r="P79">
        <f>Table1[[#This Row],[Gross Sales]]-Table1[[#This Row],[Discount Amt]]</f>
        <v>14250</v>
      </c>
    </row>
    <row r="80" spans="1:16" x14ac:dyDescent="0.3">
      <c r="A80" t="s">
        <v>211</v>
      </c>
      <c r="B80" s="2">
        <v>46145</v>
      </c>
      <c r="C80" t="s">
        <v>212</v>
      </c>
      <c r="D80" t="s">
        <v>15</v>
      </c>
      <c r="E80" t="s">
        <v>213</v>
      </c>
      <c r="F80" t="s">
        <v>17</v>
      </c>
      <c r="G80" t="s">
        <v>18</v>
      </c>
      <c r="H80" t="s">
        <v>102</v>
      </c>
      <c r="I80">
        <v>3</v>
      </c>
      <c r="J80">
        <v>7500</v>
      </c>
      <c r="K80">
        <v>0</v>
      </c>
      <c r="L80" t="s">
        <v>20</v>
      </c>
      <c r="M80" t="s">
        <v>103</v>
      </c>
      <c r="N80">
        <f t="shared" si="1"/>
        <v>22500</v>
      </c>
      <c r="O80">
        <f>Table1[[#This Row],[Gross Sales]]*Table1[[#This Row],[Discount_Pct]]/100</f>
        <v>0</v>
      </c>
      <c r="P80">
        <f>Table1[[#This Row],[Gross Sales]]-Table1[[#This Row],[Discount Amt]]</f>
        <v>22500</v>
      </c>
    </row>
    <row r="81" spans="1:16" x14ac:dyDescent="0.3">
      <c r="A81" t="s">
        <v>214</v>
      </c>
      <c r="B81" s="2">
        <v>46172</v>
      </c>
      <c r="C81" t="s">
        <v>47</v>
      </c>
      <c r="D81" t="s">
        <v>30</v>
      </c>
      <c r="E81" t="s">
        <v>16</v>
      </c>
      <c r="F81" t="s">
        <v>17</v>
      </c>
      <c r="G81" t="s">
        <v>25</v>
      </c>
      <c r="H81" t="s">
        <v>89</v>
      </c>
      <c r="I81">
        <v>5</v>
      </c>
      <c r="J81">
        <v>1200</v>
      </c>
      <c r="K81">
        <v>20</v>
      </c>
      <c r="L81" t="s">
        <v>20</v>
      </c>
      <c r="M81" t="s">
        <v>66</v>
      </c>
      <c r="N81">
        <f t="shared" si="1"/>
        <v>6000</v>
      </c>
      <c r="O81">
        <f>Table1[[#This Row],[Gross Sales]]*Table1[[#This Row],[Discount_Pct]]/100</f>
        <v>1200</v>
      </c>
      <c r="P81">
        <f>Table1[[#This Row],[Gross Sales]]-Table1[[#This Row],[Discount Amt]]</f>
        <v>4800</v>
      </c>
    </row>
    <row r="82" spans="1:16" x14ac:dyDescent="0.3">
      <c r="A82" t="s">
        <v>215</v>
      </c>
      <c r="B82" s="2">
        <v>46124</v>
      </c>
      <c r="C82" t="s">
        <v>216</v>
      </c>
      <c r="D82" t="s">
        <v>24</v>
      </c>
      <c r="E82" t="s">
        <v>75</v>
      </c>
      <c r="F82" t="s">
        <v>32</v>
      </c>
      <c r="G82" t="s">
        <v>25</v>
      </c>
      <c r="H82" t="s">
        <v>100</v>
      </c>
      <c r="I82">
        <v>4</v>
      </c>
      <c r="J82">
        <v>1800</v>
      </c>
      <c r="K82">
        <v>5</v>
      </c>
      <c r="L82" t="s">
        <v>53</v>
      </c>
      <c r="M82" t="s">
        <v>27</v>
      </c>
      <c r="N82">
        <f t="shared" si="1"/>
        <v>7200</v>
      </c>
      <c r="O82">
        <f>Table1[[#This Row],[Gross Sales]]*Table1[[#This Row],[Discount_Pct]]/100</f>
        <v>360</v>
      </c>
      <c r="P82">
        <f>Table1[[#This Row],[Gross Sales]]-Table1[[#This Row],[Discount Amt]]</f>
        <v>6840</v>
      </c>
    </row>
    <row r="83" spans="1:16" x14ac:dyDescent="0.3">
      <c r="A83" t="s">
        <v>217</v>
      </c>
      <c r="B83" s="2">
        <v>46180</v>
      </c>
      <c r="C83" t="s">
        <v>218</v>
      </c>
      <c r="D83" t="s">
        <v>15</v>
      </c>
      <c r="E83" t="s">
        <v>113</v>
      </c>
      <c r="F83" t="s">
        <v>45</v>
      </c>
      <c r="G83" t="s">
        <v>18</v>
      </c>
      <c r="H83" t="s">
        <v>79</v>
      </c>
      <c r="I83">
        <v>5</v>
      </c>
      <c r="J83">
        <v>1600</v>
      </c>
      <c r="K83">
        <v>20</v>
      </c>
      <c r="L83" t="s">
        <v>35</v>
      </c>
      <c r="M83" t="s">
        <v>66</v>
      </c>
      <c r="N83">
        <f t="shared" si="1"/>
        <v>8000</v>
      </c>
      <c r="O83">
        <f>Table1[[#This Row],[Gross Sales]]*Table1[[#This Row],[Discount_Pct]]/100</f>
        <v>1600</v>
      </c>
      <c r="P83">
        <f>Table1[[#This Row],[Gross Sales]]-Table1[[#This Row],[Discount Amt]]</f>
        <v>6400</v>
      </c>
    </row>
    <row r="84" spans="1:16" x14ac:dyDescent="0.3">
      <c r="A84" t="s">
        <v>219</v>
      </c>
      <c r="B84" s="2">
        <v>46229</v>
      </c>
      <c r="C84" t="s">
        <v>220</v>
      </c>
      <c r="D84" t="s">
        <v>24</v>
      </c>
      <c r="E84" t="s">
        <v>122</v>
      </c>
      <c r="F84" t="s">
        <v>17</v>
      </c>
      <c r="G84" t="s">
        <v>18</v>
      </c>
      <c r="H84" t="s">
        <v>79</v>
      </c>
      <c r="I84">
        <v>8</v>
      </c>
      <c r="J84">
        <v>1600</v>
      </c>
      <c r="K84">
        <v>20</v>
      </c>
      <c r="L84" t="s">
        <v>48</v>
      </c>
      <c r="M84" t="s">
        <v>66</v>
      </c>
      <c r="N84">
        <f t="shared" si="1"/>
        <v>12800</v>
      </c>
      <c r="O84">
        <f>Table1[[#This Row],[Gross Sales]]*Table1[[#This Row],[Discount_Pct]]/100</f>
        <v>2560</v>
      </c>
      <c r="P84">
        <f>Table1[[#This Row],[Gross Sales]]-Table1[[#This Row],[Discount Amt]]</f>
        <v>10240</v>
      </c>
    </row>
    <row r="85" spans="1:16" x14ac:dyDescent="0.3">
      <c r="A85" t="s">
        <v>221</v>
      </c>
      <c r="B85" s="2">
        <v>46188</v>
      </c>
      <c r="C85" t="s">
        <v>222</v>
      </c>
      <c r="D85" t="s">
        <v>24</v>
      </c>
      <c r="E85" t="s">
        <v>113</v>
      </c>
      <c r="F85" t="s">
        <v>45</v>
      </c>
      <c r="G85" t="s">
        <v>33</v>
      </c>
      <c r="H85" t="s">
        <v>40</v>
      </c>
      <c r="I85">
        <v>2</v>
      </c>
      <c r="J85">
        <v>120</v>
      </c>
      <c r="K85">
        <v>5</v>
      </c>
      <c r="L85" t="s">
        <v>35</v>
      </c>
      <c r="M85" t="s">
        <v>54</v>
      </c>
      <c r="N85">
        <f t="shared" si="1"/>
        <v>240</v>
      </c>
      <c r="O85">
        <f>Table1[[#This Row],[Gross Sales]]*Table1[[#This Row],[Discount_Pct]]/100</f>
        <v>12</v>
      </c>
      <c r="P85">
        <f>Table1[[#This Row],[Gross Sales]]-Table1[[#This Row],[Discount Amt]]</f>
        <v>228</v>
      </c>
    </row>
    <row r="86" spans="1:16" x14ac:dyDescent="0.3">
      <c r="A86" t="s">
        <v>223</v>
      </c>
      <c r="B86" s="2">
        <v>46043</v>
      </c>
      <c r="C86" t="s">
        <v>224</v>
      </c>
      <c r="D86" t="s">
        <v>30</v>
      </c>
      <c r="E86" t="s">
        <v>38</v>
      </c>
      <c r="F86" t="s">
        <v>39</v>
      </c>
      <c r="G86" t="s">
        <v>25</v>
      </c>
      <c r="H86" t="s">
        <v>76</v>
      </c>
      <c r="I86">
        <v>8</v>
      </c>
      <c r="J86">
        <v>12500</v>
      </c>
      <c r="K86">
        <v>10</v>
      </c>
      <c r="L86" t="s">
        <v>48</v>
      </c>
      <c r="M86" t="s">
        <v>21</v>
      </c>
      <c r="N86">
        <f t="shared" si="1"/>
        <v>100000</v>
      </c>
      <c r="O86">
        <f>Table1[[#This Row],[Gross Sales]]*Table1[[#This Row],[Discount_Pct]]/100</f>
        <v>10000</v>
      </c>
      <c r="P86">
        <f>Table1[[#This Row],[Gross Sales]]-Table1[[#This Row],[Discount Amt]]</f>
        <v>90000</v>
      </c>
    </row>
    <row r="87" spans="1:16" x14ac:dyDescent="0.3">
      <c r="A87" t="s">
        <v>225</v>
      </c>
      <c r="B87" s="2">
        <v>46263</v>
      </c>
      <c r="C87" t="s">
        <v>226</v>
      </c>
      <c r="D87" t="s">
        <v>30</v>
      </c>
      <c r="E87" t="s">
        <v>96</v>
      </c>
      <c r="F87" t="s">
        <v>17</v>
      </c>
      <c r="G87" t="s">
        <v>33</v>
      </c>
      <c r="H87" t="s">
        <v>135</v>
      </c>
      <c r="I87">
        <v>6</v>
      </c>
      <c r="J87">
        <v>90</v>
      </c>
      <c r="K87">
        <v>0</v>
      </c>
      <c r="L87" t="s">
        <v>48</v>
      </c>
      <c r="M87" t="s">
        <v>41</v>
      </c>
      <c r="N87">
        <f t="shared" si="1"/>
        <v>540</v>
      </c>
      <c r="O87">
        <f>Table1[[#This Row],[Gross Sales]]*Table1[[#This Row],[Discount_Pct]]/100</f>
        <v>0</v>
      </c>
      <c r="P87">
        <f>Table1[[#This Row],[Gross Sales]]-Table1[[#This Row],[Discount Amt]]</f>
        <v>540</v>
      </c>
    </row>
    <row r="88" spans="1:16" x14ac:dyDescent="0.3">
      <c r="A88" t="s">
        <v>227</v>
      </c>
      <c r="B88" s="2">
        <v>46228</v>
      </c>
      <c r="C88" t="s">
        <v>228</v>
      </c>
      <c r="D88" t="s">
        <v>30</v>
      </c>
      <c r="E88" t="s">
        <v>60</v>
      </c>
      <c r="F88" t="s">
        <v>39</v>
      </c>
      <c r="G88" t="s">
        <v>18</v>
      </c>
      <c r="H88" t="s">
        <v>102</v>
      </c>
      <c r="I88">
        <v>8</v>
      </c>
      <c r="J88">
        <v>7500</v>
      </c>
      <c r="K88">
        <v>0</v>
      </c>
      <c r="L88" t="s">
        <v>53</v>
      </c>
      <c r="M88" t="s">
        <v>103</v>
      </c>
      <c r="N88">
        <f t="shared" si="1"/>
        <v>60000</v>
      </c>
      <c r="O88">
        <f>Table1[[#This Row],[Gross Sales]]*Table1[[#This Row],[Discount_Pct]]/100</f>
        <v>0</v>
      </c>
      <c r="P88">
        <f>Table1[[#This Row],[Gross Sales]]-Table1[[#This Row],[Discount Amt]]</f>
        <v>60000</v>
      </c>
    </row>
    <row r="89" spans="1:16" x14ac:dyDescent="0.3">
      <c r="A89" t="s">
        <v>229</v>
      </c>
      <c r="B89" s="2">
        <v>46286</v>
      </c>
      <c r="C89" t="s">
        <v>230</v>
      </c>
      <c r="D89" t="s">
        <v>15</v>
      </c>
      <c r="E89" t="s">
        <v>60</v>
      </c>
      <c r="F89" t="s">
        <v>39</v>
      </c>
      <c r="G89" t="s">
        <v>25</v>
      </c>
      <c r="H89" t="s">
        <v>151</v>
      </c>
      <c r="I89">
        <v>8</v>
      </c>
      <c r="J89">
        <v>2200</v>
      </c>
      <c r="K89">
        <v>15</v>
      </c>
      <c r="L89" t="s">
        <v>35</v>
      </c>
      <c r="M89" t="s">
        <v>54</v>
      </c>
      <c r="N89">
        <f t="shared" si="1"/>
        <v>17600</v>
      </c>
      <c r="O89">
        <f>Table1[[#This Row],[Gross Sales]]*Table1[[#This Row],[Discount_Pct]]/100</f>
        <v>2640</v>
      </c>
      <c r="P89">
        <f>Table1[[#This Row],[Gross Sales]]-Table1[[#This Row],[Discount Amt]]</f>
        <v>14960</v>
      </c>
    </row>
    <row r="90" spans="1:16" x14ac:dyDescent="0.3">
      <c r="A90" t="s">
        <v>231</v>
      </c>
      <c r="B90" s="2">
        <v>46278</v>
      </c>
      <c r="C90" t="s">
        <v>232</v>
      </c>
      <c r="D90" t="s">
        <v>30</v>
      </c>
      <c r="E90" t="s">
        <v>51</v>
      </c>
      <c r="F90" t="s">
        <v>45</v>
      </c>
      <c r="G90" t="s">
        <v>33</v>
      </c>
      <c r="H90" t="s">
        <v>40</v>
      </c>
      <c r="I90">
        <v>4</v>
      </c>
      <c r="J90">
        <v>120</v>
      </c>
      <c r="K90">
        <v>10</v>
      </c>
      <c r="L90" t="s">
        <v>48</v>
      </c>
      <c r="M90" t="s">
        <v>66</v>
      </c>
      <c r="N90">
        <f t="shared" si="1"/>
        <v>480</v>
      </c>
      <c r="O90">
        <f>Table1[[#This Row],[Gross Sales]]*Table1[[#This Row],[Discount_Pct]]/100</f>
        <v>48</v>
      </c>
      <c r="P90">
        <f>Table1[[#This Row],[Gross Sales]]-Table1[[#This Row],[Discount Amt]]</f>
        <v>432</v>
      </c>
    </row>
    <row r="91" spans="1:16" x14ac:dyDescent="0.3">
      <c r="A91" t="s">
        <v>233</v>
      </c>
      <c r="B91" s="2">
        <v>46271</v>
      </c>
      <c r="C91" t="s">
        <v>234</v>
      </c>
      <c r="D91" t="s">
        <v>24</v>
      </c>
      <c r="E91" t="s">
        <v>118</v>
      </c>
      <c r="F91" t="s">
        <v>17</v>
      </c>
      <c r="G91" t="s">
        <v>25</v>
      </c>
      <c r="H91" t="s">
        <v>151</v>
      </c>
      <c r="I91">
        <v>4</v>
      </c>
      <c r="J91">
        <v>2200</v>
      </c>
      <c r="K91">
        <v>5</v>
      </c>
      <c r="L91" t="s">
        <v>20</v>
      </c>
      <c r="M91" t="s">
        <v>103</v>
      </c>
      <c r="N91">
        <f t="shared" si="1"/>
        <v>8800</v>
      </c>
      <c r="O91">
        <f>Table1[[#This Row],[Gross Sales]]*Table1[[#This Row],[Discount_Pct]]/100</f>
        <v>440</v>
      </c>
      <c r="P91">
        <f>Table1[[#This Row],[Gross Sales]]-Table1[[#This Row],[Discount Amt]]</f>
        <v>8360</v>
      </c>
    </row>
    <row r="92" spans="1:16" x14ac:dyDescent="0.3">
      <c r="A92" t="s">
        <v>235</v>
      </c>
      <c r="B92" s="2">
        <v>46070</v>
      </c>
      <c r="C92" t="s">
        <v>199</v>
      </c>
      <c r="D92" t="s">
        <v>15</v>
      </c>
      <c r="E92" t="s">
        <v>31</v>
      </c>
      <c r="F92" t="s">
        <v>32</v>
      </c>
      <c r="G92" t="s">
        <v>25</v>
      </c>
      <c r="H92" t="s">
        <v>76</v>
      </c>
      <c r="I92">
        <v>2</v>
      </c>
      <c r="J92">
        <v>12500</v>
      </c>
      <c r="K92">
        <v>5</v>
      </c>
      <c r="L92" t="s">
        <v>35</v>
      </c>
      <c r="M92" t="s">
        <v>103</v>
      </c>
      <c r="N92">
        <f t="shared" si="1"/>
        <v>25000</v>
      </c>
      <c r="O92">
        <f>Table1[[#This Row],[Gross Sales]]*Table1[[#This Row],[Discount_Pct]]/100</f>
        <v>1250</v>
      </c>
      <c r="P92">
        <f>Table1[[#This Row],[Gross Sales]]-Table1[[#This Row],[Discount Amt]]</f>
        <v>23750</v>
      </c>
    </row>
    <row r="93" spans="1:16" x14ac:dyDescent="0.3">
      <c r="A93" t="s">
        <v>236</v>
      </c>
      <c r="B93" s="2">
        <v>46270</v>
      </c>
      <c r="C93" t="s">
        <v>237</v>
      </c>
      <c r="D93" t="s">
        <v>15</v>
      </c>
      <c r="E93" t="s">
        <v>82</v>
      </c>
      <c r="F93" t="s">
        <v>32</v>
      </c>
      <c r="G93" t="s">
        <v>25</v>
      </c>
      <c r="H93" t="s">
        <v>76</v>
      </c>
      <c r="I93">
        <v>3</v>
      </c>
      <c r="J93">
        <v>12500</v>
      </c>
      <c r="K93">
        <v>15</v>
      </c>
      <c r="L93" t="s">
        <v>62</v>
      </c>
      <c r="M93" t="s">
        <v>21</v>
      </c>
      <c r="N93">
        <f t="shared" si="1"/>
        <v>37500</v>
      </c>
      <c r="O93">
        <f>Table1[[#This Row],[Gross Sales]]*Table1[[#This Row],[Discount_Pct]]/100</f>
        <v>5625</v>
      </c>
      <c r="P93">
        <f>Table1[[#This Row],[Gross Sales]]-Table1[[#This Row],[Discount Amt]]</f>
        <v>31875</v>
      </c>
    </row>
    <row r="94" spans="1:16" x14ac:dyDescent="0.3">
      <c r="A94" t="s">
        <v>238</v>
      </c>
      <c r="B94" s="2">
        <v>46164</v>
      </c>
      <c r="C94" t="s">
        <v>147</v>
      </c>
      <c r="D94" t="s">
        <v>15</v>
      </c>
      <c r="E94" t="s">
        <v>38</v>
      </c>
      <c r="F94" t="s">
        <v>39</v>
      </c>
      <c r="G94" t="s">
        <v>33</v>
      </c>
      <c r="H94" t="s">
        <v>135</v>
      </c>
      <c r="I94">
        <v>5</v>
      </c>
      <c r="J94">
        <v>90</v>
      </c>
      <c r="K94">
        <v>0</v>
      </c>
      <c r="L94" t="s">
        <v>20</v>
      </c>
      <c r="M94" t="s">
        <v>66</v>
      </c>
      <c r="N94">
        <f t="shared" si="1"/>
        <v>450</v>
      </c>
      <c r="O94">
        <f>Table1[[#This Row],[Gross Sales]]*Table1[[#This Row],[Discount_Pct]]/100</f>
        <v>0</v>
      </c>
      <c r="P94">
        <f>Table1[[#This Row],[Gross Sales]]-Table1[[#This Row],[Discount Amt]]</f>
        <v>450</v>
      </c>
    </row>
    <row r="95" spans="1:16" x14ac:dyDescent="0.3">
      <c r="A95" t="s">
        <v>239</v>
      </c>
      <c r="B95" s="2">
        <v>46273</v>
      </c>
      <c r="C95" t="s">
        <v>240</v>
      </c>
      <c r="D95" t="s">
        <v>15</v>
      </c>
      <c r="E95" t="s">
        <v>60</v>
      </c>
      <c r="F95" t="s">
        <v>39</v>
      </c>
      <c r="G95" t="s">
        <v>25</v>
      </c>
      <c r="H95" t="s">
        <v>76</v>
      </c>
      <c r="I95">
        <v>8</v>
      </c>
      <c r="J95">
        <v>12500</v>
      </c>
      <c r="K95">
        <v>10</v>
      </c>
      <c r="L95" t="s">
        <v>48</v>
      </c>
      <c r="M95" t="s">
        <v>103</v>
      </c>
      <c r="N95">
        <f t="shared" si="1"/>
        <v>100000</v>
      </c>
      <c r="O95">
        <f>Table1[[#This Row],[Gross Sales]]*Table1[[#This Row],[Discount_Pct]]/100</f>
        <v>10000</v>
      </c>
      <c r="P95">
        <f>Table1[[#This Row],[Gross Sales]]-Table1[[#This Row],[Discount Amt]]</f>
        <v>90000</v>
      </c>
    </row>
    <row r="96" spans="1:16" x14ac:dyDescent="0.3">
      <c r="A96" t="s">
        <v>241</v>
      </c>
      <c r="B96" s="2">
        <v>46187</v>
      </c>
      <c r="C96" t="s">
        <v>242</v>
      </c>
      <c r="D96" t="s">
        <v>24</v>
      </c>
      <c r="E96" t="s">
        <v>60</v>
      </c>
      <c r="F96" t="s">
        <v>39</v>
      </c>
      <c r="G96" t="s">
        <v>25</v>
      </c>
      <c r="H96" t="s">
        <v>151</v>
      </c>
      <c r="I96">
        <v>4</v>
      </c>
      <c r="J96">
        <v>2200</v>
      </c>
      <c r="K96">
        <v>15</v>
      </c>
      <c r="L96" t="s">
        <v>35</v>
      </c>
      <c r="M96" t="s">
        <v>66</v>
      </c>
      <c r="N96">
        <f t="shared" si="1"/>
        <v>8800</v>
      </c>
      <c r="O96">
        <f>Table1[[#This Row],[Gross Sales]]*Table1[[#This Row],[Discount_Pct]]/100</f>
        <v>1320</v>
      </c>
      <c r="P96">
        <f>Table1[[#This Row],[Gross Sales]]-Table1[[#This Row],[Discount Amt]]</f>
        <v>7480</v>
      </c>
    </row>
    <row r="97" spans="1:16" x14ac:dyDescent="0.3">
      <c r="A97" t="s">
        <v>243</v>
      </c>
      <c r="B97" s="2">
        <v>46265</v>
      </c>
      <c r="C97" t="s">
        <v>244</v>
      </c>
      <c r="D97" t="s">
        <v>15</v>
      </c>
      <c r="E97" t="s">
        <v>44</v>
      </c>
      <c r="F97" t="s">
        <v>45</v>
      </c>
      <c r="G97" t="s">
        <v>33</v>
      </c>
      <c r="H97" t="s">
        <v>97</v>
      </c>
      <c r="I97">
        <v>3</v>
      </c>
      <c r="J97">
        <v>250</v>
      </c>
      <c r="K97">
        <v>20</v>
      </c>
      <c r="L97" t="s">
        <v>20</v>
      </c>
      <c r="M97" t="s">
        <v>41</v>
      </c>
      <c r="N97">
        <f t="shared" si="1"/>
        <v>750</v>
      </c>
      <c r="O97">
        <f>Table1[[#This Row],[Gross Sales]]*Table1[[#This Row],[Discount_Pct]]/100</f>
        <v>150</v>
      </c>
      <c r="P97">
        <f>Table1[[#This Row],[Gross Sales]]-Table1[[#This Row],[Discount Amt]]</f>
        <v>600</v>
      </c>
    </row>
    <row r="98" spans="1:16" x14ac:dyDescent="0.3">
      <c r="A98" t="s">
        <v>245</v>
      </c>
      <c r="B98" s="2">
        <v>46074</v>
      </c>
      <c r="C98" t="s">
        <v>246</v>
      </c>
      <c r="D98" t="s">
        <v>15</v>
      </c>
      <c r="E98" t="s">
        <v>60</v>
      </c>
      <c r="F98" t="s">
        <v>39</v>
      </c>
      <c r="G98" t="s">
        <v>33</v>
      </c>
      <c r="H98" t="s">
        <v>40</v>
      </c>
      <c r="I98">
        <v>8</v>
      </c>
      <c r="J98">
        <v>120</v>
      </c>
      <c r="K98">
        <v>0</v>
      </c>
      <c r="L98" t="s">
        <v>62</v>
      </c>
      <c r="M98" t="s">
        <v>21</v>
      </c>
      <c r="N98">
        <f t="shared" si="1"/>
        <v>960</v>
      </c>
      <c r="O98">
        <f>Table1[[#This Row],[Gross Sales]]*Table1[[#This Row],[Discount_Pct]]/100</f>
        <v>0</v>
      </c>
      <c r="P98">
        <f>Table1[[#This Row],[Gross Sales]]-Table1[[#This Row],[Discount Amt]]</f>
        <v>960</v>
      </c>
    </row>
    <row r="99" spans="1:16" x14ac:dyDescent="0.3">
      <c r="A99" t="s">
        <v>247</v>
      </c>
      <c r="B99" s="2">
        <v>46263</v>
      </c>
      <c r="C99" t="s">
        <v>240</v>
      </c>
      <c r="D99" t="s">
        <v>30</v>
      </c>
      <c r="E99" t="s">
        <v>38</v>
      </c>
      <c r="F99" t="s">
        <v>39</v>
      </c>
      <c r="G99" t="s">
        <v>33</v>
      </c>
      <c r="H99" t="s">
        <v>135</v>
      </c>
      <c r="I99">
        <v>7</v>
      </c>
      <c r="J99">
        <v>90</v>
      </c>
      <c r="K99">
        <v>0</v>
      </c>
      <c r="L99" t="s">
        <v>35</v>
      </c>
      <c r="M99" t="s">
        <v>66</v>
      </c>
      <c r="N99">
        <f t="shared" si="1"/>
        <v>630</v>
      </c>
      <c r="O99">
        <f>Table1[[#This Row],[Gross Sales]]*Table1[[#This Row],[Discount_Pct]]/100</f>
        <v>0</v>
      </c>
      <c r="P99">
        <f>Table1[[#This Row],[Gross Sales]]-Table1[[#This Row],[Discount Amt]]</f>
        <v>630</v>
      </c>
    </row>
    <row r="100" spans="1:16" x14ac:dyDescent="0.3">
      <c r="A100" t="s">
        <v>248</v>
      </c>
      <c r="B100" s="2">
        <v>46272</v>
      </c>
      <c r="C100" t="s">
        <v>249</v>
      </c>
      <c r="D100" t="s">
        <v>15</v>
      </c>
      <c r="E100" t="s">
        <v>60</v>
      </c>
      <c r="F100" t="s">
        <v>39</v>
      </c>
      <c r="G100" t="s">
        <v>18</v>
      </c>
      <c r="H100" t="s">
        <v>102</v>
      </c>
      <c r="I100">
        <v>2</v>
      </c>
      <c r="J100">
        <v>7500</v>
      </c>
      <c r="K100">
        <v>5</v>
      </c>
      <c r="L100" t="s">
        <v>53</v>
      </c>
      <c r="M100" t="s">
        <v>103</v>
      </c>
      <c r="N100">
        <f t="shared" si="1"/>
        <v>15000</v>
      </c>
      <c r="O100">
        <f>Table1[[#This Row],[Gross Sales]]*Table1[[#This Row],[Discount_Pct]]/100</f>
        <v>750</v>
      </c>
      <c r="P100">
        <f>Table1[[#This Row],[Gross Sales]]-Table1[[#This Row],[Discount Amt]]</f>
        <v>14250</v>
      </c>
    </row>
    <row r="101" spans="1:16" x14ac:dyDescent="0.3">
      <c r="A101" t="s">
        <v>250</v>
      </c>
      <c r="B101" s="2">
        <v>46073</v>
      </c>
      <c r="C101" t="s">
        <v>251</v>
      </c>
      <c r="D101" t="s">
        <v>24</v>
      </c>
      <c r="E101" t="s">
        <v>38</v>
      </c>
      <c r="F101" t="s">
        <v>39</v>
      </c>
      <c r="G101" t="s">
        <v>18</v>
      </c>
      <c r="H101" t="s">
        <v>102</v>
      </c>
      <c r="I101">
        <v>8</v>
      </c>
      <c r="J101">
        <v>7500</v>
      </c>
      <c r="K101">
        <v>5</v>
      </c>
      <c r="L101" t="s">
        <v>35</v>
      </c>
      <c r="M101" t="s">
        <v>21</v>
      </c>
      <c r="N101">
        <f t="shared" si="1"/>
        <v>60000</v>
      </c>
      <c r="O101">
        <f>Table1[[#This Row],[Gross Sales]]*Table1[[#This Row],[Discount_Pct]]/100</f>
        <v>3000</v>
      </c>
      <c r="P101">
        <f>Table1[[#This Row],[Gross Sales]]-Table1[[#This Row],[Discount Amt]]</f>
        <v>57000</v>
      </c>
    </row>
    <row r="102" spans="1:16" x14ac:dyDescent="0.3">
      <c r="A102" t="s">
        <v>252</v>
      </c>
      <c r="B102" s="2">
        <v>46173</v>
      </c>
      <c r="C102" t="s">
        <v>253</v>
      </c>
      <c r="D102" t="s">
        <v>15</v>
      </c>
      <c r="E102" t="s">
        <v>96</v>
      </c>
      <c r="F102" t="s">
        <v>17</v>
      </c>
      <c r="G102" t="s">
        <v>33</v>
      </c>
      <c r="H102" t="s">
        <v>97</v>
      </c>
      <c r="I102">
        <v>3</v>
      </c>
      <c r="J102">
        <v>250</v>
      </c>
      <c r="K102">
        <v>5</v>
      </c>
      <c r="L102" t="s">
        <v>62</v>
      </c>
      <c r="M102" t="s">
        <v>27</v>
      </c>
      <c r="N102">
        <f t="shared" si="1"/>
        <v>750</v>
      </c>
      <c r="O102">
        <f>Table1[[#This Row],[Gross Sales]]*Table1[[#This Row],[Discount_Pct]]/100</f>
        <v>37.5</v>
      </c>
      <c r="P102">
        <f>Table1[[#This Row],[Gross Sales]]-Table1[[#This Row],[Discount Amt]]</f>
        <v>712.5</v>
      </c>
    </row>
    <row r="103" spans="1:16" x14ac:dyDescent="0.3">
      <c r="A103" t="s">
        <v>254</v>
      </c>
      <c r="B103" s="2">
        <v>46112</v>
      </c>
      <c r="C103" t="s">
        <v>255</v>
      </c>
      <c r="D103" t="s">
        <v>24</v>
      </c>
      <c r="E103" t="s">
        <v>118</v>
      </c>
      <c r="F103" t="s">
        <v>17</v>
      </c>
      <c r="G103" t="s">
        <v>18</v>
      </c>
      <c r="H103" t="s">
        <v>65</v>
      </c>
      <c r="I103">
        <v>4</v>
      </c>
      <c r="J103">
        <v>8200</v>
      </c>
      <c r="K103">
        <v>20</v>
      </c>
      <c r="L103" t="s">
        <v>48</v>
      </c>
      <c r="M103" t="s">
        <v>66</v>
      </c>
      <c r="N103">
        <f t="shared" si="1"/>
        <v>32800</v>
      </c>
      <c r="O103">
        <f>Table1[[#This Row],[Gross Sales]]*Table1[[#This Row],[Discount_Pct]]/100</f>
        <v>6560</v>
      </c>
      <c r="P103">
        <f>Table1[[#This Row],[Gross Sales]]-Table1[[#This Row],[Discount Amt]]</f>
        <v>26240</v>
      </c>
    </row>
    <row r="104" spans="1:16" x14ac:dyDescent="0.3">
      <c r="A104" t="s">
        <v>256</v>
      </c>
      <c r="B104" s="2">
        <v>46153</v>
      </c>
      <c r="C104" t="s">
        <v>234</v>
      </c>
      <c r="D104" t="s">
        <v>24</v>
      </c>
      <c r="E104" t="s">
        <v>82</v>
      </c>
      <c r="F104" t="s">
        <v>32</v>
      </c>
      <c r="G104" t="s">
        <v>33</v>
      </c>
      <c r="H104" t="s">
        <v>133</v>
      </c>
      <c r="I104">
        <v>1</v>
      </c>
      <c r="J104">
        <v>350</v>
      </c>
      <c r="K104">
        <v>20</v>
      </c>
      <c r="L104" t="s">
        <v>53</v>
      </c>
      <c r="M104" t="s">
        <v>103</v>
      </c>
      <c r="N104">
        <f t="shared" si="1"/>
        <v>350</v>
      </c>
      <c r="O104">
        <f>Table1[[#This Row],[Gross Sales]]*Table1[[#This Row],[Discount_Pct]]/100</f>
        <v>70</v>
      </c>
      <c r="P104">
        <f>Table1[[#This Row],[Gross Sales]]-Table1[[#This Row],[Discount Amt]]</f>
        <v>280</v>
      </c>
    </row>
    <row r="105" spans="1:16" x14ac:dyDescent="0.3">
      <c r="A105" t="s">
        <v>257</v>
      </c>
      <c r="B105" s="2">
        <v>46199</v>
      </c>
      <c r="C105" t="s">
        <v>258</v>
      </c>
      <c r="D105" t="s">
        <v>24</v>
      </c>
      <c r="E105" t="s">
        <v>113</v>
      </c>
      <c r="F105" t="s">
        <v>45</v>
      </c>
      <c r="G105" t="s">
        <v>33</v>
      </c>
      <c r="H105" t="s">
        <v>133</v>
      </c>
      <c r="I105">
        <v>7</v>
      </c>
      <c r="J105">
        <v>350</v>
      </c>
      <c r="K105">
        <v>10</v>
      </c>
      <c r="L105" t="s">
        <v>48</v>
      </c>
      <c r="M105" t="s">
        <v>103</v>
      </c>
      <c r="N105">
        <f t="shared" si="1"/>
        <v>2450</v>
      </c>
      <c r="O105">
        <f>Table1[[#This Row],[Gross Sales]]*Table1[[#This Row],[Discount_Pct]]/100</f>
        <v>245</v>
      </c>
      <c r="P105">
        <f>Table1[[#This Row],[Gross Sales]]-Table1[[#This Row],[Discount Amt]]</f>
        <v>2205</v>
      </c>
    </row>
    <row r="106" spans="1:16" x14ac:dyDescent="0.3">
      <c r="A106" t="s">
        <v>259</v>
      </c>
      <c r="B106" s="2">
        <v>46077</v>
      </c>
      <c r="C106" t="s">
        <v>251</v>
      </c>
      <c r="D106" t="s">
        <v>15</v>
      </c>
      <c r="E106" t="s">
        <v>31</v>
      </c>
      <c r="F106" t="s">
        <v>32</v>
      </c>
      <c r="G106" t="s">
        <v>33</v>
      </c>
      <c r="H106" t="s">
        <v>34</v>
      </c>
      <c r="I106">
        <v>6</v>
      </c>
      <c r="J106">
        <v>420</v>
      </c>
      <c r="K106">
        <v>10</v>
      </c>
      <c r="L106" t="s">
        <v>48</v>
      </c>
      <c r="M106" t="s">
        <v>41</v>
      </c>
      <c r="N106">
        <f t="shared" si="1"/>
        <v>2520</v>
      </c>
      <c r="O106">
        <f>Table1[[#This Row],[Gross Sales]]*Table1[[#This Row],[Discount_Pct]]/100</f>
        <v>252</v>
      </c>
      <c r="P106">
        <f>Table1[[#This Row],[Gross Sales]]-Table1[[#This Row],[Discount Amt]]</f>
        <v>2268</v>
      </c>
    </row>
    <row r="107" spans="1:16" x14ac:dyDescent="0.3">
      <c r="A107" t="s">
        <v>260</v>
      </c>
      <c r="B107" s="2">
        <v>46027</v>
      </c>
      <c r="C107" t="s">
        <v>261</v>
      </c>
      <c r="D107" t="s">
        <v>30</v>
      </c>
      <c r="E107" t="s">
        <v>113</v>
      </c>
      <c r="F107" t="s">
        <v>45</v>
      </c>
      <c r="G107" t="s">
        <v>18</v>
      </c>
      <c r="H107" t="s">
        <v>102</v>
      </c>
      <c r="I107">
        <v>8</v>
      </c>
      <c r="J107">
        <v>7500</v>
      </c>
      <c r="K107">
        <v>10</v>
      </c>
      <c r="L107" t="s">
        <v>62</v>
      </c>
      <c r="M107" t="s">
        <v>66</v>
      </c>
      <c r="N107">
        <f t="shared" si="1"/>
        <v>60000</v>
      </c>
      <c r="O107">
        <f>Table1[[#This Row],[Gross Sales]]*Table1[[#This Row],[Discount_Pct]]/100</f>
        <v>6000</v>
      </c>
      <c r="P107">
        <f>Table1[[#This Row],[Gross Sales]]-Table1[[#This Row],[Discount Amt]]</f>
        <v>54000</v>
      </c>
    </row>
    <row r="108" spans="1:16" x14ac:dyDescent="0.3">
      <c r="A108" t="s">
        <v>262</v>
      </c>
      <c r="B108" s="2">
        <v>46120</v>
      </c>
      <c r="C108" t="s">
        <v>263</v>
      </c>
      <c r="D108" t="s">
        <v>30</v>
      </c>
      <c r="E108" t="s">
        <v>113</v>
      </c>
      <c r="F108" t="s">
        <v>45</v>
      </c>
      <c r="G108" t="s">
        <v>33</v>
      </c>
      <c r="H108" t="s">
        <v>133</v>
      </c>
      <c r="I108">
        <v>3</v>
      </c>
      <c r="J108">
        <v>350</v>
      </c>
      <c r="K108">
        <v>0</v>
      </c>
      <c r="L108" t="s">
        <v>53</v>
      </c>
      <c r="M108" t="s">
        <v>54</v>
      </c>
      <c r="N108">
        <f t="shared" si="1"/>
        <v>1050</v>
      </c>
      <c r="O108">
        <f>Table1[[#This Row],[Gross Sales]]*Table1[[#This Row],[Discount_Pct]]/100</f>
        <v>0</v>
      </c>
      <c r="P108">
        <f>Table1[[#This Row],[Gross Sales]]-Table1[[#This Row],[Discount Amt]]</f>
        <v>1050</v>
      </c>
    </row>
    <row r="109" spans="1:16" x14ac:dyDescent="0.3">
      <c r="A109" t="s">
        <v>264</v>
      </c>
      <c r="B109" s="2">
        <v>46209</v>
      </c>
      <c r="C109" t="s">
        <v>99</v>
      </c>
      <c r="D109" t="s">
        <v>24</v>
      </c>
      <c r="E109" t="s">
        <v>44</v>
      </c>
      <c r="F109" t="s">
        <v>45</v>
      </c>
      <c r="G109" t="s">
        <v>25</v>
      </c>
      <c r="H109" t="s">
        <v>26</v>
      </c>
      <c r="I109">
        <v>5</v>
      </c>
      <c r="J109">
        <v>700</v>
      </c>
      <c r="K109">
        <v>10</v>
      </c>
      <c r="L109" t="s">
        <v>62</v>
      </c>
      <c r="M109" t="s">
        <v>54</v>
      </c>
      <c r="N109">
        <f t="shared" si="1"/>
        <v>3500</v>
      </c>
      <c r="O109">
        <f>Table1[[#This Row],[Gross Sales]]*Table1[[#This Row],[Discount_Pct]]/100</f>
        <v>350</v>
      </c>
      <c r="P109">
        <f>Table1[[#This Row],[Gross Sales]]-Table1[[#This Row],[Discount Amt]]</f>
        <v>3150</v>
      </c>
    </row>
    <row r="110" spans="1:16" x14ac:dyDescent="0.3">
      <c r="A110" t="s">
        <v>265</v>
      </c>
      <c r="B110" s="2">
        <v>46210</v>
      </c>
      <c r="C110" t="s">
        <v>199</v>
      </c>
      <c r="D110" t="s">
        <v>15</v>
      </c>
      <c r="E110" t="s">
        <v>57</v>
      </c>
      <c r="F110" t="s">
        <v>32</v>
      </c>
      <c r="G110" t="s">
        <v>18</v>
      </c>
      <c r="H110" t="s">
        <v>19</v>
      </c>
      <c r="I110">
        <v>3</v>
      </c>
      <c r="J110">
        <v>6500</v>
      </c>
      <c r="K110">
        <v>10</v>
      </c>
      <c r="L110" t="s">
        <v>35</v>
      </c>
      <c r="M110" t="s">
        <v>21</v>
      </c>
      <c r="N110">
        <f t="shared" si="1"/>
        <v>19500</v>
      </c>
      <c r="O110">
        <f>Table1[[#This Row],[Gross Sales]]*Table1[[#This Row],[Discount_Pct]]/100</f>
        <v>1950</v>
      </c>
      <c r="P110">
        <f>Table1[[#This Row],[Gross Sales]]-Table1[[#This Row],[Discount Amt]]</f>
        <v>17550</v>
      </c>
    </row>
    <row r="111" spans="1:16" x14ac:dyDescent="0.3">
      <c r="A111" t="s">
        <v>266</v>
      </c>
      <c r="B111" s="2">
        <v>46262</v>
      </c>
      <c r="C111" t="s">
        <v>164</v>
      </c>
      <c r="D111" t="s">
        <v>24</v>
      </c>
      <c r="E111" t="s">
        <v>118</v>
      </c>
      <c r="F111" t="s">
        <v>17</v>
      </c>
      <c r="G111" t="s">
        <v>25</v>
      </c>
      <c r="H111" t="s">
        <v>61</v>
      </c>
      <c r="I111">
        <v>7</v>
      </c>
      <c r="J111">
        <v>450</v>
      </c>
      <c r="K111">
        <v>10</v>
      </c>
      <c r="L111" t="s">
        <v>35</v>
      </c>
      <c r="M111" t="s">
        <v>54</v>
      </c>
      <c r="N111">
        <f t="shared" si="1"/>
        <v>3150</v>
      </c>
      <c r="O111">
        <f>Table1[[#This Row],[Gross Sales]]*Table1[[#This Row],[Discount_Pct]]/100</f>
        <v>315</v>
      </c>
      <c r="P111">
        <f>Table1[[#This Row],[Gross Sales]]-Table1[[#This Row],[Discount Amt]]</f>
        <v>2835</v>
      </c>
    </row>
    <row r="112" spans="1:16" x14ac:dyDescent="0.3">
      <c r="A112" t="s">
        <v>267</v>
      </c>
      <c r="B112" s="2">
        <v>46086</v>
      </c>
      <c r="C112" t="s">
        <v>117</v>
      </c>
      <c r="D112" t="s">
        <v>15</v>
      </c>
      <c r="E112" t="s">
        <v>82</v>
      </c>
      <c r="F112" t="s">
        <v>32</v>
      </c>
      <c r="G112" t="s">
        <v>33</v>
      </c>
      <c r="H112" t="s">
        <v>133</v>
      </c>
      <c r="I112">
        <v>5</v>
      </c>
      <c r="J112">
        <v>350</v>
      </c>
      <c r="K112">
        <v>15</v>
      </c>
      <c r="L112" t="s">
        <v>62</v>
      </c>
      <c r="M112" t="s">
        <v>103</v>
      </c>
      <c r="N112">
        <f t="shared" si="1"/>
        <v>1750</v>
      </c>
      <c r="O112">
        <f>Table1[[#This Row],[Gross Sales]]*Table1[[#This Row],[Discount_Pct]]/100</f>
        <v>262.5</v>
      </c>
      <c r="P112">
        <f>Table1[[#This Row],[Gross Sales]]-Table1[[#This Row],[Discount Amt]]</f>
        <v>1487.5</v>
      </c>
    </row>
    <row r="113" spans="1:16" x14ac:dyDescent="0.3">
      <c r="A113" t="s">
        <v>268</v>
      </c>
      <c r="B113" s="2">
        <v>46035</v>
      </c>
      <c r="C113" t="s">
        <v>258</v>
      </c>
      <c r="D113" t="s">
        <v>15</v>
      </c>
      <c r="E113" t="s">
        <v>113</v>
      </c>
      <c r="F113" t="s">
        <v>45</v>
      </c>
      <c r="G113" t="s">
        <v>18</v>
      </c>
      <c r="H113" t="s">
        <v>19</v>
      </c>
      <c r="I113">
        <v>4</v>
      </c>
      <c r="J113">
        <v>6500</v>
      </c>
      <c r="K113">
        <v>0</v>
      </c>
      <c r="L113" t="s">
        <v>48</v>
      </c>
      <c r="M113" t="s">
        <v>21</v>
      </c>
      <c r="N113">
        <f t="shared" si="1"/>
        <v>26000</v>
      </c>
      <c r="O113">
        <f>Table1[[#This Row],[Gross Sales]]*Table1[[#This Row],[Discount_Pct]]/100</f>
        <v>0</v>
      </c>
      <c r="P113">
        <f>Table1[[#This Row],[Gross Sales]]-Table1[[#This Row],[Discount Amt]]</f>
        <v>26000</v>
      </c>
    </row>
    <row r="114" spans="1:16" x14ac:dyDescent="0.3">
      <c r="A114" t="s">
        <v>269</v>
      </c>
      <c r="B114" s="2">
        <v>46094</v>
      </c>
      <c r="C114" t="s">
        <v>270</v>
      </c>
      <c r="D114" t="s">
        <v>15</v>
      </c>
      <c r="E114" t="s">
        <v>16</v>
      </c>
      <c r="F114" t="s">
        <v>17</v>
      </c>
      <c r="G114" t="s">
        <v>25</v>
      </c>
      <c r="H114" t="s">
        <v>89</v>
      </c>
      <c r="I114">
        <v>8</v>
      </c>
      <c r="J114">
        <v>1200</v>
      </c>
      <c r="K114">
        <v>0</v>
      </c>
      <c r="L114" t="s">
        <v>62</v>
      </c>
      <c r="M114" t="s">
        <v>103</v>
      </c>
      <c r="N114">
        <f t="shared" si="1"/>
        <v>9600</v>
      </c>
      <c r="O114">
        <f>Table1[[#This Row],[Gross Sales]]*Table1[[#This Row],[Discount_Pct]]/100</f>
        <v>0</v>
      </c>
      <c r="P114">
        <f>Table1[[#This Row],[Gross Sales]]-Table1[[#This Row],[Discount Amt]]</f>
        <v>9600</v>
      </c>
    </row>
    <row r="115" spans="1:16" x14ac:dyDescent="0.3">
      <c r="A115" t="s">
        <v>271</v>
      </c>
      <c r="B115" s="2">
        <v>46255</v>
      </c>
      <c r="C115" t="s">
        <v>272</v>
      </c>
      <c r="D115" t="s">
        <v>30</v>
      </c>
      <c r="E115" t="s">
        <v>96</v>
      </c>
      <c r="F115" t="s">
        <v>17</v>
      </c>
      <c r="G115" t="s">
        <v>18</v>
      </c>
      <c r="H115" t="s">
        <v>79</v>
      </c>
      <c r="I115">
        <v>7</v>
      </c>
      <c r="J115">
        <v>1600</v>
      </c>
      <c r="K115">
        <v>5</v>
      </c>
      <c r="L115" t="s">
        <v>20</v>
      </c>
      <c r="M115" t="s">
        <v>103</v>
      </c>
      <c r="N115">
        <f t="shared" si="1"/>
        <v>11200</v>
      </c>
      <c r="O115">
        <f>Table1[[#This Row],[Gross Sales]]*Table1[[#This Row],[Discount_Pct]]/100</f>
        <v>560</v>
      </c>
      <c r="P115">
        <f>Table1[[#This Row],[Gross Sales]]-Table1[[#This Row],[Discount Amt]]</f>
        <v>10640</v>
      </c>
    </row>
    <row r="116" spans="1:16" x14ac:dyDescent="0.3">
      <c r="A116" t="s">
        <v>273</v>
      </c>
      <c r="B116" s="2">
        <v>46166</v>
      </c>
      <c r="C116" t="s">
        <v>274</v>
      </c>
      <c r="D116" t="s">
        <v>30</v>
      </c>
      <c r="E116" t="s">
        <v>16</v>
      </c>
      <c r="F116" t="s">
        <v>17</v>
      </c>
      <c r="G116" t="s">
        <v>18</v>
      </c>
      <c r="H116" t="s">
        <v>19</v>
      </c>
      <c r="I116">
        <v>4</v>
      </c>
      <c r="J116">
        <v>6500</v>
      </c>
      <c r="K116">
        <v>20</v>
      </c>
      <c r="L116" t="s">
        <v>53</v>
      </c>
      <c r="M116" t="s">
        <v>66</v>
      </c>
      <c r="N116">
        <f t="shared" si="1"/>
        <v>26000</v>
      </c>
      <c r="O116">
        <f>Table1[[#This Row],[Gross Sales]]*Table1[[#This Row],[Discount_Pct]]/100</f>
        <v>5200</v>
      </c>
      <c r="P116">
        <f>Table1[[#This Row],[Gross Sales]]-Table1[[#This Row],[Discount Amt]]</f>
        <v>20800</v>
      </c>
    </row>
    <row r="117" spans="1:16" x14ac:dyDescent="0.3">
      <c r="A117" t="s">
        <v>275</v>
      </c>
      <c r="B117" s="2">
        <v>46211</v>
      </c>
      <c r="C117" t="s">
        <v>197</v>
      </c>
      <c r="D117" t="s">
        <v>24</v>
      </c>
      <c r="E117" t="s">
        <v>57</v>
      </c>
      <c r="F117" t="s">
        <v>32</v>
      </c>
      <c r="G117" t="s">
        <v>18</v>
      </c>
      <c r="H117" t="s">
        <v>19</v>
      </c>
      <c r="I117">
        <v>1</v>
      </c>
      <c r="J117">
        <v>6500</v>
      </c>
      <c r="K117">
        <v>15</v>
      </c>
      <c r="L117" t="s">
        <v>48</v>
      </c>
      <c r="M117" t="s">
        <v>21</v>
      </c>
      <c r="N117">
        <f t="shared" si="1"/>
        <v>6500</v>
      </c>
      <c r="O117">
        <f>Table1[[#This Row],[Gross Sales]]*Table1[[#This Row],[Discount_Pct]]/100</f>
        <v>975</v>
      </c>
      <c r="P117">
        <f>Table1[[#This Row],[Gross Sales]]-Table1[[#This Row],[Discount Amt]]</f>
        <v>5525</v>
      </c>
    </row>
    <row r="118" spans="1:16" x14ac:dyDescent="0.3">
      <c r="A118" t="s">
        <v>276</v>
      </c>
      <c r="B118" s="2">
        <v>46131</v>
      </c>
      <c r="C118" t="s">
        <v>277</v>
      </c>
      <c r="D118" t="s">
        <v>24</v>
      </c>
      <c r="E118" t="s">
        <v>51</v>
      </c>
      <c r="F118" t="s">
        <v>45</v>
      </c>
      <c r="G118" t="s">
        <v>18</v>
      </c>
      <c r="H118" t="s">
        <v>79</v>
      </c>
      <c r="I118">
        <v>1</v>
      </c>
      <c r="J118">
        <v>1600</v>
      </c>
      <c r="K118">
        <v>0</v>
      </c>
      <c r="L118" t="s">
        <v>20</v>
      </c>
      <c r="M118" t="s">
        <v>27</v>
      </c>
      <c r="N118">
        <f t="shared" si="1"/>
        <v>1600</v>
      </c>
      <c r="O118">
        <f>Table1[[#This Row],[Gross Sales]]*Table1[[#This Row],[Discount_Pct]]/100</f>
        <v>0</v>
      </c>
      <c r="P118">
        <f>Table1[[#This Row],[Gross Sales]]-Table1[[#This Row],[Discount Amt]]</f>
        <v>1600</v>
      </c>
    </row>
    <row r="119" spans="1:16" x14ac:dyDescent="0.3">
      <c r="A119" t="s">
        <v>278</v>
      </c>
      <c r="B119" s="2">
        <v>46058</v>
      </c>
      <c r="C119" t="s">
        <v>279</v>
      </c>
      <c r="D119" t="s">
        <v>15</v>
      </c>
      <c r="E119" t="s">
        <v>60</v>
      </c>
      <c r="F119" t="s">
        <v>39</v>
      </c>
      <c r="G119" t="s">
        <v>18</v>
      </c>
      <c r="H119" t="s">
        <v>58</v>
      </c>
      <c r="I119">
        <v>4</v>
      </c>
      <c r="J119">
        <v>9000</v>
      </c>
      <c r="K119">
        <v>5</v>
      </c>
      <c r="L119" t="s">
        <v>53</v>
      </c>
      <c r="M119" t="s">
        <v>41</v>
      </c>
      <c r="N119">
        <f t="shared" si="1"/>
        <v>36000</v>
      </c>
      <c r="O119">
        <f>Table1[[#This Row],[Gross Sales]]*Table1[[#This Row],[Discount_Pct]]/100</f>
        <v>1800</v>
      </c>
      <c r="P119">
        <f>Table1[[#This Row],[Gross Sales]]-Table1[[#This Row],[Discount Amt]]</f>
        <v>34200</v>
      </c>
    </row>
    <row r="120" spans="1:16" x14ac:dyDescent="0.3">
      <c r="A120" t="s">
        <v>280</v>
      </c>
      <c r="B120" s="2">
        <v>46097</v>
      </c>
      <c r="C120" t="s">
        <v>281</v>
      </c>
      <c r="D120" t="s">
        <v>24</v>
      </c>
      <c r="E120" t="s">
        <v>213</v>
      </c>
      <c r="F120" t="s">
        <v>17</v>
      </c>
      <c r="G120" t="s">
        <v>18</v>
      </c>
      <c r="H120" t="s">
        <v>19</v>
      </c>
      <c r="I120">
        <v>3</v>
      </c>
      <c r="J120">
        <v>6500</v>
      </c>
      <c r="K120">
        <v>0</v>
      </c>
      <c r="L120" t="s">
        <v>35</v>
      </c>
      <c r="M120" t="s">
        <v>27</v>
      </c>
      <c r="N120">
        <f t="shared" si="1"/>
        <v>19500</v>
      </c>
      <c r="O120">
        <f>Table1[[#This Row],[Gross Sales]]*Table1[[#This Row],[Discount_Pct]]/100</f>
        <v>0</v>
      </c>
      <c r="P120">
        <f>Table1[[#This Row],[Gross Sales]]-Table1[[#This Row],[Discount Amt]]</f>
        <v>19500</v>
      </c>
    </row>
    <row r="121" spans="1:16" x14ac:dyDescent="0.3">
      <c r="A121" t="s">
        <v>282</v>
      </c>
      <c r="B121" s="2">
        <v>46188</v>
      </c>
      <c r="C121" t="s">
        <v>283</v>
      </c>
      <c r="D121" t="s">
        <v>24</v>
      </c>
      <c r="E121" t="s">
        <v>16</v>
      </c>
      <c r="F121" t="s">
        <v>17</v>
      </c>
      <c r="G121" t="s">
        <v>25</v>
      </c>
      <c r="H121" t="s">
        <v>89</v>
      </c>
      <c r="I121">
        <v>1</v>
      </c>
      <c r="J121">
        <v>1200</v>
      </c>
      <c r="K121">
        <v>5</v>
      </c>
      <c r="L121" t="s">
        <v>53</v>
      </c>
      <c r="M121" t="s">
        <v>103</v>
      </c>
      <c r="N121">
        <f t="shared" si="1"/>
        <v>1200</v>
      </c>
      <c r="O121">
        <f>Table1[[#This Row],[Gross Sales]]*Table1[[#This Row],[Discount_Pct]]/100</f>
        <v>60</v>
      </c>
      <c r="P121">
        <f>Table1[[#This Row],[Gross Sales]]-Table1[[#This Row],[Discount Amt]]</f>
        <v>1140</v>
      </c>
    </row>
    <row r="122" spans="1:16" x14ac:dyDescent="0.3">
      <c r="A122" t="s">
        <v>284</v>
      </c>
      <c r="B122" s="2">
        <v>46252</v>
      </c>
      <c r="C122" t="s">
        <v>91</v>
      </c>
      <c r="D122" t="s">
        <v>15</v>
      </c>
      <c r="E122" t="s">
        <v>38</v>
      </c>
      <c r="F122" t="s">
        <v>39</v>
      </c>
      <c r="G122" t="s">
        <v>33</v>
      </c>
      <c r="H122" t="s">
        <v>34</v>
      </c>
      <c r="I122">
        <v>2</v>
      </c>
      <c r="J122">
        <v>420</v>
      </c>
      <c r="K122">
        <v>20</v>
      </c>
      <c r="L122" t="s">
        <v>53</v>
      </c>
      <c r="M122" t="s">
        <v>66</v>
      </c>
      <c r="N122">
        <f t="shared" si="1"/>
        <v>840</v>
      </c>
      <c r="O122">
        <f>Table1[[#This Row],[Gross Sales]]*Table1[[#This Row],[Discount_Pct]]/100</f>
        <v>168</v>
      </c>
      <c r="P122">
        <f>Table1[[#This Row],[Gross Sales]]-Table1[[#This Row],[Discount Amt]]</f>
        <v>672</v>
      </c>
    </row>
    <row r="123" spans="1:16" x14ac:dyDescent="0.3">
      <c r="A123" t="s">
        <v>285</v>
      </c>
      <c r="B123" s="2">
        <v>46289</v>
      </c>
      <c r="C123" t="s">
        <v>93</v>
      </c>
      <c r="D123" t="s">
        <v>30</v>
      </c>
      <c r="E123" t="s">
        <v>122</v>
      </c>
      <c r="F123" t="s">
        <v>17</v>
      </c>
      <c r="G123" t="s">
        <v>33</v>
      </c>
      <c r="H123" t="s">
        <v>133</v>
      </c>
      <c r="I123">
        <v>1</v>
      </c>
      <c r="J123">
        <v>350</v>
      </c>
      <c r="K123">
        <v>0</v>
      </c>
      <c r="L123" t="s">
        <v>286</v>
      </c>
      <c r="M123" t="s">
        <v>103</v>
      </c>
      <c r="N123">
        <f t="shared" si="1"/>
        <v>350</v>
      </c>
      <c r="O123">
        <f>Table1[[#This Row],[Gross Sales]]*Table1[[#This Row],[Discount_Pct]]/100</f>
        <v>0</v>
      </c>
      <c r="P123">
        <f>Table1[[#This Row],[Gross Sales]]-Table1[[#This Row],[Discount Amt]]</f>
        <v>350</v>
      </c>
    </row>
    <row r="124" spans="1:16" x14ac:dyDescent="0.3">
      <c r="A124" t="s">
        <v>287</v>
      </c>
      <c r="B124" s="2">
        <v>46250</v>
      </c>
      <c r="C124" t="s">
        <v>64</v>
      </c>
      <c r="D124" t="s">
        <v>15</v>
      </c>
      <c r="E124" t="s">
        <v>118</v>
      </c>
      <c r="F124" t="s">
        <v>17</v>
      </c>
      <c r="G124" t="s">
        <v>25</v>
      </c>
      <c r="H124" t="s">
        <v>89</v>
      </c>
      <c r="I124">
        <v>3</v>
      </c>
      <c r="J124">
        <v>1200</v>
      </c>
      <c r="K124">
        <v>0</v>
      </c>
      <c r="L124" t="s">
        <v>20</v>
      </c>
      <c r="M124" t="s">
        <v>54</v>
      </c>
      <c r="N124">
        <f t="shared" si="1"/>
        <v>3600</v>
      </c>
      <c r="O124">
        <f>Table1[[#This Row],[Gross Sales]]*Table1[[#This Row],[Discount_Pct]]/100</f>
        <v>0</v>
      </c>
      <c r="P124">
        <f>Table1[[#This Row],[Gross Sales]]-Table1[[#This Row],[Discount Amt]]</f>
        <v>3600</v>
      </c>
    </row>
    <row r="125" spans="1:16" x14ac:dyDescent="0.3">
      <c r="A125" t="s">
        <v>288</v>
      </c>
      <c r="B125" s="2">
        <v>46189</v>
      </c>
      <c r="C125" t="s">
        <v>23</v>
      </c>
      <c r="D125" t="s">
        <v>30</v>
      </c>
      <c r="E125" t="s">
        <v>75</v>
      </c>
      <c r="F125" t="s">
        <v>32</v>
      </c>
      <c r="G125" t="s">
        <v>18</v>
      </c>
      <c r="H125" t="s">
        <v>79</v>
      </c>
      <c r="I125">
        <v>5</v>
      </c>
      <c r="J125">
        <v>1600</v>
      </c>
      <c r="K125">
        <v>20</v>
      </c>
      <c r="L125" t="s">
        <v>53</v>
      </c>
      <c r="M125" t="s">
        <v>66</v>
      </c>
      <c r="N125">
        <f t="shared" si="1"/>
        <v>8000</v>
      </c>
      <c r="O125">
        <f>Table1[[#This Row],[Gross Sales]]*Table1[[#This Row],[Discount_Pct]]/100</f>
        <v>1600</v>
      </c>
      <c r="P125">
        <f>Table1[[#This Row],[Gross Sales]]-Table1[[#This Row],[Discount Amt]]</f>
        <v>6400</v>
      </c>
    </row>
    <row r="126" spans="1:16" x14ac:dyDescent="0.3">
      <c r="A126" t="s">
        <v>289</v>
      </c>
      <c r="B126" s="2">
        <v>46081</v>
      </c>
      <c r="C126" t="s">
        <v>274</v>
      </c>
      <c r="D126" t="s">
        <v>30</v>
      </c>
      <c r="E126" t="s">
        <v>60</v>
      </c>
      <c r="F126" t="s">
        <v>39</v>
      </c>
      <c r="G126" t="s">
        <v>18</v>
      </c>
      <c r="H126" t="s">
        <v>79</v>
      </c>
      <c r="I126">
        <v>4</v>
      </c>
      <c r="J126">
        <v>1600</v>
      </c>
      <c r="K126">
        <v>15</v>
      </c>
      <c r="L126" t="s">
        <v>35</v>
      </c>
      <c r="M126" t="s">
        <v>103</v>
      </c>
      <c r="N126">
        <f t="shared" si="1"/>
        <v>6400</v>
      </c>
      <c r="O126">
        <f>Table1[[#This Row],[Gross Sales]]*Table1[[#This Row],[Discount_Pct]]/100</f>
        <v>960</v>
      </c>
      <c r="P126">
        <f>Table1[[#This Row],[Gross Sales]]-Table1[[#This Row],[Discount Amt]]</f>
        <v>5440</v>
      </c>
    </row>
    <row r="127" spans="1:16" x14ac:dyDescent="0.3">
      <c r="A127" t="s">
        <v>290</v>
      </c>
      <c r="B127" s="2">
        <v>46227</v>
      </c>
      <c r="C127" t="s">
        <v>228</v>
      </c>
      <c r="D127" t="s">
        <v>30</v>
      </c>
      <c r="E127" t="s">
        <v>75</v>
      </c>
      <c r="F127" t="s">
        <v>32</v>
      </c>
      <c r="G127" t="s">
        <v>18</v>
      </c>
      <c r="H127" t="s">
        <v>102</v>
      </c>
      <c r="I127">
        <v>6</v>
      </c>
      <c r="J127">
        <v>7500</v>
      </c>
      <c r="K127">
        <v>15</v>
      </c>
      <c r="L127" t="s">
        <v>62</v>
      </c>
      <c r="M127" t="s">
        <v>66</v>
      </c>
      <c r="N127">
        <f t="shared" si="1"/>
        <v>45000</v>
      </c>
      <c r="O127">
        <f>Table1[[#This Row],[Gross Sales]]*Table1[[#This Row],[Discount_Pct]]/100</f>
        <v>6750</v>
      </c>
      <c r="P127">
        <f>Table1[[#This Row],[Gross Sales]]-Table1[[#This Row],[Discount Amt]]</f>
        <v>38250</v>
      </c>
    </row>
    <row r="128" spans="1:16" x14ac:dyDescent="0.3">
      <c r="A128" t="s">
        <v>291</v>
      </c>
      <c r="B128" s="2">
        <v>46265</v>
      </c>
      <c r="C128" t="s">
        <v>37</v>
      </c>
      <c r="D128" t="s">
        <v>24</v>
      </c>
      <c r="E128" t="s">
        <v>118</v>
      </c>
      <c r="F128" t="s">
        <v>17</v>
      </c>
      <c r="G128" t="s">
        <v>25</v>
      </c>
      <c r="H128" t="s">
        <v>26</v>
      </c>
      <c r="I128">
        <v>2</v>
      </c>
      <c r="J128">
        <v>700</v>
      </c>
      <c r="K128">
        <v>15</v>
      </c>
      <c r="L128" t="s">
        <v>20</v>
      </c>
      <c r="M128" t="s">
        <v>21</v>
      </c>
      <c r="N128">
        <f t="shared" si="1"/>
        <v>1400</v>
      </c>
      <c r="O128">
        <f>Table1[[#This Row],[Gross Sales]]*Table1[[#This Row],[Discount_Pct]]/100</f>
        <v>210</v>
      </c>
      <c r="P128">
        <f>Table1[[#This Row],[Gross Sales]]-Table1[[#This Row],[Discount Amt]]</f>
        <v>1190</v>
      </c>
    </row>
    <row r="129" spans="1:16" x14ac:dyDescent="0.3">
      <c r="A129" t="s">
        <v>292</v>
      </c>
      <c r="B129" s="2">
        <v>46191</v>
      </c>
      <c r="C129" t="s">
        <v>263</v>
      </c>
      <c r="D129" t="s">
        <v>15</v>
      </c>
      <c r="E129" t="s">
        <v>51</v>
      </c>
      <c r="F129" t="s">
        <v>45</v>
      </c>
      <c r="G129" t="s">
        <v>25</v>
      </c>
      <c r="H129" t="s">
        <v>76</v>
      </c>
      <c r="I129">
        <v>6</v>
      </c>
      <c r="J129">
        <v>12500</v>
      </c>
      <c r="K129">
        <v>15</v>
      </c>
      <c r="L129" t="s">
        <v>35</v>
      </c>
      <c r="M129" t="s">
        <v>41</v>
      </c>
      <c r="N129">
        <f t="shared" si="1"/>
        <v>75000</v>
      </c>
      <c r="O129">
        <f>Table1[[#This Row],[Gross Sales]]*Table1[[#This Row],[Discount_Pct]]/100</f>
        <v>11250</v>
      </c>
      <c r="P129">
        <f>Table1[[#This Row],[Gross Sales]]-Table1[[#This Row],[Discount Amt]]</f>
        <v>63750</v>
      </c>
    </row>
    <row r="130" spans="1:16" x14ac:dyDescent="0.3">
      <c r="A130" t="s">
        <v>293</v>
      </c>
      <c r="B130" s="2">
        <v>46076</v>
      </c>
      <c r="C130" t="s">
        <v>175</v>
      </c>
      <c r="D130" t="s">
        <v>30</v>
      </c>
      <c r="E130" t="s">
        <v>113</v>
      </c>
      <c r="F130" t="s">
        <v>45</v>
      </c>
      <c r="G130" t="s">
        <v>18</v>
      </c>
      <c r="H130" t="s">
        <v>58</v>
      </c>
      <c r="I130">
        <v>3</v>
      </c>
      <c r="J130">
        <v>9000</v>
      </c>
      <c r="K130">
        <v>20</v>
      </c>
      <c r="L130" t="s">
        <v>20</v>
      </c>
      <c r="M130" t="s">
        <v>41</v>
      </c>
      <c r="N130">
        <f t="shared" si="1"/>
        <v>27000</v>
      </c>
      <c r="O130">
        <f>Table1[[#This Row],[Gross Sales]]*Table1[[#This Row],[Discount_Pct]]/100</f>
        <v>5400</v>
      </c>
      <c r="P130">
        <f>Table1[[#This Row],[Gross Sales]]-Table1[[#This Row],[Discount Amt]]</f>
        <v>21600</v>
      </c>
    </row>
    <row r="131" spans="1:16" x14ac:dyDescent="0.3">
      <c r="A131" t="s">
        <v>294</v>
      </c>
      <c r="B131" s="2">
        <v>46081</v>
      </c>
      <c r="C131" t="s">
        <v>295</v>
      </c>
      <c r="D131" t="s">
        <v>15</v>
      </c>
      <c r="E131" t="s">
        <v>38</v>
      </c>
      <c r="F131" t="s">
        <v>39</v>
      </c>
      <c r="G131" t="s">
        <v>33</v>
      </c>
      <c r="H131" t="s">
        <v>34</v>
      </c>
      <c r="I131">
        <v>4</v>
      </c>
      <c r="J131">
        <v>420</v>
      </c>
      <c r="K131">
        <v>15</v>
      </c>
      <c r="L131" t="s">
        <v>20</v>
      </c>
      <c r="M131" t="s">
        <v>21</v>
      </c>
      <c r="N131">
        <f t="shared" ref="N131:N194" si="2">I131*J131</f>
        <v>1680</v>
      </c>
      <c r="O131">
        <f>Table1[[#This Row],[Gross Sales]]*Table1[[#This Row],[Discount_Pct]]/100</f>
        <v>252</v>
      </c>
      <c r="P131">
        <f>Table1[[#This Row],[Gross Sales]]-Table1[[#This Row],[Discount Amt]]</f>
        <v>1428</v>
      </c>
    </row>
    <row r="132" spans="1:16" x14ac:dyDescent="0.3">
      <c r="A132" t="s">
        <v>296</v>
      </c>
      <c r="B132" s="2">
        <v>46159</v>
      </c>
      <c r="C132" t="s">
        <v>297</v>
      </c>
      <c r="D132" t="s">
        <v>24</v>
      </c>
      <c r="E132" t="s">
        <v>16</v>
      </c>
      <c r="F132" t="s">
        <v>17</v>
      </c>
      <c r="G132" t="s">
        <v>25</v>
      </c>
      <c r="H132" t="s">
        <v>89</v>
      </c>
      <c r="I132">
        <v>5</v>
      </c>
      <c r="J132">
        <v>1200</v>
      </c>
      <c r="K132">
        <v>10</v>
      </c>
      <c r="L132" t="s">
        <v>62</v>
      </c>
      <c r="M132" t="s">
        <v>54</v>
      </c>
      <c r="N132">
        <f t="shared" si="2"/>
        <v>6000</v>
      </c>
      <c r="O132">
        <f>Table1[[#This Row],[Gross Sales]]*Table1[[#This Row],[Discount_Pct]]/100</f>
        <v>600</v>
      </c>
      <c r="P132">
        <f>Table1[[#This Row],[Gross Sales]]-Table1[[#This Row],[Discount Amt]]</f>
        <v>5400</v>
      </c>
    </row>
    <row r="133" spans="1:16" x14ac:dyDescent="0.3">
      <c r="A133" t="s">
        <v>298</v>
      </c>
      <c r="B133" s="2">
        <v>46228</v>
      </c>
      <c r="C133" t="s">
        <v>91</v>
      </c>
      <c r="D133" t="s">
        <v>30</v>
      </c>
      <c r="E133" t="s">
        <v>118</v>
      </c>
      <c r="F133" t="s">
        <v>17</v>
      </c>
      <c r="G133" t="s">
        <v>25</v>
      </c>
      <c r="H133" t="s">
        <v>151</v>
      </c>
      <c r="I133">
        <v>1</v>
      </c>
      <c r="J133">
        <v>2200</v>
      </c>
      <c r="K133">
        <v>0</v>
      </c>
      <c r="L133" t="s">
        <v>48</v>
      </c>
      <c r="M133" t="s">
        <v>103</v>
      </c>
      <c r="N133">
        <f t="shared" si="2"/>
        <v>2200</v>
      </c>
      <c r="O133">
        <f>Table1[[#This Row],[Gross Sales]]*Table1[[#This Row],[Discount_Pct]]/100</f>
        <v>0</v>
      </c>
      <c r="P133">
        <f>Table1[[#This Row],[Gross Sales]]-Table1[[#This Row],[Discount Amt]]</f>
        <v>2200</v>
      </c>
    </row>
    <row r="134" spans="1:16" x14ac:dyDescent="0.3">
      <c r="A134" t="s">
        <v>299</v>
      </c>
      <c r="B134" s="2">
        <v>46197</v>
      </c>
      <c r="C134" t="s">
        <v>244</v>
      </c>
      <c r="D134" t="s">
        <v>24</v>
      </c>
      <c r="E134" t="s">
        <v>213</v>
      </c>
      <c r="F134" t="s">
        <v>17</v>
      </c>
      <c r="G134" t="s">
        <v>33</v>
      </c>
      <c r="H134" t="s">
        <v>135</v>
      </c>
      <c r="I134">
        <v>6</v>
      </c>
      <c r="J134">
        <v>90</v>
      </c>
      <c r="K134">
        <v>0</v>
      </c>
      <c r="L134" t="s">
        <v>20</v>
      </c>
      <c r="M134" t="s">
        <v>21</v>
      </c>
      <c r="N134">
        <f t="shared" si="2"/>
        <v>540</v>
      </c>
      <c r="O134">
        <f>Table1[[#This Row],[Gross Sales]]*Table1[[#This Row],[Discount_Pct]]/100</f>
        <v>0</v>
      </c>
      <c r="P134">
        <f>Table1[[#This Row],[Gross Sales]]-Table1[[#This Row],[Discount Amt]]</f>
        <v>540</v>
      </c>
    </row>
    <row r="135" spans="1:16" x14ac:dyDescent="0.3">
      <c r="A135" t="s">
        <v>300</v>
      </c>
      <c r="B135" s="2">
        <v>46064</v>
      </c>
      <c r="C135" t="s">
        <v>301</v>
      </c>
      <c r="D135" t="s">
        <v>30</v>
      </c>
      <c r="E135" t="s">
        <v>122</v>
      </c>
      <c r="F135" t="s">
        <v>17</v>
      </c>
      <c r="G135" t="s">
        <v>33</v>
      </c>
      <c r="H135" t="s">
        <v>133</v>
      </c>
      <c r="I135">
        <v>7</v>
      </c>
      <c r="J135">
        <v>350</v>
      </c>
      <c r="K135">
        <v>20</v>
      </c>
      <c r="L135" t="s">
        <v>35</v>
      </c>
      <c r="M135" t="s">
        <v>27</v>
      </c>
      <c r="N135">
        <f t="shared" si="2"/>
        <v>2450</v>
      </c>
      <c r="O135">
        <f>Table1[[#This Row],[Gross Sales]]*Table1[[#This Row],[Discount_Pct]]/100</f>
        <v>490</v>
      </c>
      <c r="P135">
        <f>Table1[[#This Row],[Gross Sales]]-Table1[[#This Row],[Discount Amt]]</f>
        <v>1960</v>
      </c>
    </row>
    <row r="136" spans="1:16" x14ac:dyDescent="0.3">
      <c r="A136" t="s">
        <v>302</v>
      </c>
      <c r="B136" s="2">
        <v>46285</v>
      </c>
      <c r="C136" t="s">
        <v>303</v>
      </c>
      <c r="D136" t="s">
        <v>15</v>
      </c>
      <c r="E136" t="s">
        <v>118</v>
      </c>
      <c r="F136" t="s">
        <v>17</v>
      </c>
      <c r="G136" t="s">
        <v>33</v>
      </c>
      <c r="H136" t="s">
        <v>97</v>
      </c>
      <c r="I136">
        <v>2</v>
      </c>
      <c r="J136">
        <v>250</v>
      </c>
      <c r="K136">
        <v>10</v>
      </c>
      <c r="L136" t="s">
        <v>35</v>
      </c>
      <c r="M136" t="s">
        <v>21</v>
      </c>
      <c r="N136">
        <f t="shared" si="2"/>
        <v>500</v>
      </c>
      <c r="O136">
        <f>Table1[[#This Row],[Gross Sales]]*Table1[[#This Row],[Discount_Pct]]/100</f>
        <v>50</v>
      </c>
      <c r="P136">
        <f>Table1[[#This Row],[Gross Sales]]-Table1[[#This Row],[Discount Amt]]</f>
        <v>450</v>
      </c>
    </row>
    <row r="137" spans="1:16" x14ac:dyDescent="0.3">
      <c r="A137" t="s">
        <v>304</v>
      </c>
      <c r="B137" s="2">
        <v>46135</v>
      </c>
      <c r="C137" t="s">
        <v>249</v>
      </c>
      <c r="D137" t="s">
        <v>24</v>
      </c>
      <c r="E137" t="s">
        <v>75</v>
      </c>
      <c r="F137" t="s">
        <v>32</v>
      </c>
      <c r="G137" t="s">
        <v>18</v>
      </c>
      <c r="H137" t="s">
        <v>102</v>
      </c>
      <c r="I137">
        <v>1</v>
      </c>
      <c r="J137">
        <v>7500</v>
      </c>
      <c r="K137">
        <v>5</v>
      </c>
      <c r="L137" t="s">
        <v>35</v>
      </c>
      <c r="M137" t="s">
        <v>41</v>
      </c>
      <c r="N137">
        <f t="shared" si="2"/>
        <v>7500</v>
      </c>
      <c r="O137">
        <f>Table1[[#This Row],[Gross Sales]]*Table1[[#This Row],[Discount_Pct]]/100</f>
        <v>375</v>
      </c>
      <c r="P137">
        <f>Table1[[#This Row],[Gross Sales]]-Table1[[#This Row],[Discount Amt]]</f>
        <v>7125</v>
      </c>
    </row>
    <row r="138" spans="1:16" x14ac:dyDescent="0.3">
      <c r="A138" t="s">
        <v>305</v>
      </c>
      <c r="B138" s="2">
        <v>46190</v>
      </c>
      <c r="C138" t="s">
        <v>246</v>
      </c>
      <c r="D138" t="s">
        <v>15</v>
      </c>
      <c r="E138" t="s">
        <v>118</v>
      </c>
      <c r="F138" t="s">
        <v>17</v>
      </c>
      <c r="G138" t="s">
        <v>25</v>
      </c>
      <c r="H138" t="s">
        <v>76</v>
      </c>
      <c r="I138">
        <v>7</v>
      </c>
      <c r="J138">
        <v>12500</v>
      </c>
      <c r="K138">
        <v>5</v>
      </c>
      <c r="L138" t="s">
        <v>62</v>
      </c>
      <c r="M138" t="s">
        <v>54</v>
      </c>
      <c r="N138">
        <f t="shared" si="2"/>
        <v>87500</v>
      </c>
      <c r="O138">
        <f>Table1[[#This Row],[Gross Sales]]*Table1[[#This Row],[Discount_Pct]]/100</f>
        <v>4375</v>
      </c>
      <c r="P138">
        <f>Table1[[#This Row],[Gross Sales]]-Table1[[#This Row],[Discount Amt]]</f>
        <v>83125</v>
      </c>
    </row>
    <row r="139" spans="1:16" x14ac:dyDescent="0.3">
      <c r="A139" t="s">
        <v>306</v>
      </c>
      <c r="B139" s="2">
        <v>46204</v>
      </c>
      <c r="C139" t="s">
        <v>307</v>
      </c>
      <c r="D139" t="s">
        <v>24</v>
      </c>
      <c r="E139" t="s">
        <v>118</v>
      </c>
      <c r="F139" t="s">
        <v>17</v>
      </c>
      <c r="G139" t="s">
        <v>33</v>
      </c>
      <c r="H139" t="s">
        <v>133</v>
      </c>
      <c r="I139">
        <v>1</v>
      </c>
      <c r="J139">
        <v>350</v>
      </c>
      <c r="K139">
        <v>15</v>
      </c>
      <c r="L139" t="s">
        <v>35</v>
      </c>
      <c r="M139" t="s">
        <v>54</v>
      </c>
      <c r="N139">
        <f t="shared" si="2"/>
        <v>350</v>
      </c>
      <c r="O139">
        <f>Table1[[#This Row],[Gross Sales]]*Table1[[#This Row],[Discount_Pct]]/100</f>
        <v>52.5</v>
      </c>
      <c r="P139">
        <f>Table1[[#This Row],[Gross Sales]]-Table1[[#This Row],[Discount Amt]]</f>
        <v>297.5</v>
      </c>
    </row>
    <row r="140" spans="1:16" x14ac:dyDescent="0.3">
      <c r="A140" t="s">
        <v>308</v>
      </c>
      <c r="B140" s="2">
        <v>46242</v>
      </c>
      <c r="C140" t="s">
        <v>184</v>
      </c>
      <c r="D140" t="s">
        <v>24</v>
      </c>
      <c r="E140" t="s">
        <v>113</v>
      </c>
      <c r="F140" t="s">
        <v>45</v>
      </c>
      <c r="G140" t="s">
        <v>33</v>
      </c>
      <c r="H140" t="s">
        <v>133</v>
      </c>
      <c r="I140">
        <v>7</v>
      </c>
      <c r="J140">
        <v>350</v>
      </c>
      <c r="K140">
        <v>10</v>
      </c>
      <c r="L140" t="s">
        <v>35</v>
      </c>
      <c r="M140" t="s">
        <v>27</v>
      </c>
      <c r="N140">
        <f t="shared" si="2"/>
        <v>2450</v>
      </c>
      <c r="O140">
        <f>Table1[[#This Row],[Gross Sales]]*Table1[[#This Row],[Discount_Pct]]/100</f>
        <v>245</v>
      </c>
      <c r="P140">
        <f>Table1[[#This Row],[Gross Sales]]-Table1[[#This Row],[Discount Amt]]</f>
        <v>2205</v>
      </c>
    </row>
    <row r="141" spans="1:16" x14ac:dyDescent="0.3">
      <c r="A141" t="s">
        <v>309</v>
      </c>
      <c r="B141" s="2">
        <v>46258</v>
      </c>
      <c r="C141" t="s">
        <v>270</v>
      </c>
      <c r="D141" t="s">
        <v>30</v>
      </c>
      <c r="E141" t="s">
        <v>60</v>
      </c>
      <c r="F141" t="s">
        <v>39</v>
      </c>
      <c r="G141" t="s">
        <v>18</v>
      </c>
      <c r="H141" t="s">
        <v>19</v>
      </c>
      <c r="I141">
        <v>2</v>
      </c>
      <c r="J141">
        <v>6500</v>
      </c>
      <c r="K141">
        <v>15</v>
      </c>
      <c r="L141" t="s">
        <v>20</v>
      </c>
      <c r="M141" t="s">
        <v>103</v>
      </c>
      <c r="N141">
        <f t="shared" si="2"/>
        <v>13000</v>
      </c>
      <c r="O141">
        <f>Table1[[#This Row],[Gross Sales]]*Table1[[#This Row],[Discount_Pct]]/100</f>
        <v>1950</v>
      </c>
      <c r="P141">
        <f>Table1[[#This Row],[Gross Sales]]-Table1[[#This Row],[Discount Amt]]</f>
        <v>11050</v>
      </c>
    </row>
    <row r="142" spans="1:16" x14ac:dyDescent="0.3">
      <c r="A142" t="s">
        <v>310</v>
      </c>
      <c r="B142" s="2">
        <v>46291</v>
      </c>
      <c r="C142" t="s">
        <v>279</v>
      </c>
      <c r="D142" t="s">
        <v>24</v>
      </c>
      <c r="E142" t="s">
        <v>118</v>
      </c>
      <c r="F142" t="s">
        <v>17</v>
      </c>
      <c r="G142" t="s">
        <v>33</v>
      </c>
      <c r="H142" t="s">
        <v>135</v>
      </c>
      <c r="I142">
        <v>6</v>
      </c>
      <c r="J142">
        <v>90</v>
      </c>
      <c r="K142">
        <v>5</v>
      </c>
      <c r="L142" t="s">
        <v>20</v>
      </c>
      <c r="M142" t="s">
        <v>66</v>
      </c>
      <c r="N142">
        <f t="shared" si="2"/>
        <v>540</v>
      </c>
      <c r="O142">
        <f>Table1[[#This Row],[Gross Sales]]*Table1[[#This Row],[Discount_Pct]]/100</f>
        <v>27</v>
      </c>
      <c r="P142">
        <f>Table1[[#This Row],[Gross Sales]]-Table1[[#This Row],[Discount Amt]]</f>
        <v>513</v>
      </c>
    </row>
    <row r="143" spans="1:16" x14ac:dyDescent="0.3">
      <c r="A143" t="s">
        <v>311</v>
      </c>
      <c r="B143" s="2">
        <v>46081</v>
      </c>
      <c r="C143" t="s">
        <v>312</v>
      </c>
      <c r="D143" t="s">
        <v>24</v>
      </c>
      <c r="E143" t="s">
        <v>57</v>
      </c>
      <c r="F143" t="s">
        <v>32</v>
      </c>
      <c r="G143" t="s">
        <v>18</v>
      </c>
      <c r="H143" t="s">
        <v>58</v>
      </c>
      <c r="I143">
        <v>6</v>
      </c>
      <c r="J143">
        <v>9000</v>
      </c>
      <c r="K143">
        <v>10</v>
      </c>
      <c r="L143" t="s">
        <v>62</v>
      </c>
      <c r="M143" t="s">
        <v>41</v>
      </c>
      <c r="N143">
        <f t="shared" si="2"/>
        <v>54000</v>
      </c>
      <c r="O143">
        <f>Table1[[#This Row],[Gross Sales]]*Table1[[#This Row],[Discount_Pct]]/100</f>
        <v>5400</v>
      </c>
      <c r="P143">
        <f>Table1[[#This Row],[Gross Sales]]-Table1[[#This Row],[Discount Amt]]</f>
        <v>48600</v>
      </c>
    </row>
    <row r="144" spans="1:16" x14ac:dyDescent="0.3">
      <c r="A144" t="s">
        <v>313</v>
      </c>
      <c r="B144" s="2">
        <v>46124</v>
      </c>
      <c r="C144" t="s">
        <v>314</v>
      </c>
      <c r="D144" t="s">
        <v>15</v>
      </c>
      <c r="E144" t="s">
        <v>213</v>
      </c>
      <c r="F144" t="s">
        <v>17</v>
      </c>
      <c r="G144" t="s">
        <v>18</v>
      </c>
      <c r="H144" t="s">
        <v>58</v>
      </c>
      <c r="I144">
        <v>2</v>
      </c>
      <c r="J144">
        <v>9000</v>
      </c>
      <c r="K144">
        <v>5</v>
      </c>
      <c r="L144" t="s">
        <v>20</v>
      </c>
      <c r="M144" t="s">
        <v>103</v>
      </c>
      <c r="N144">
        <f t="shared" si="2"/>
        <v>18000</v>
      </c>
      <c r="O144">
        <f>Table1[[#This Row],[Gross Sales]]*Table1[[#This Row],[Discount_Pct]]/100</f>
        <v>900</v>
      </c>
      <c r="P144">
        <f>Table1[[#This Row],[Gross Sales]]-Table1[[#This Row],[Discount Amt]]</f>
        <v>17100</v>
      </c>
    </row>
    <row r="145" spans="1:16" x14ac:dyDescent="0.3">
      <c r="A145" t="s">
        <v>315</v>
      </c>
      <c r="B145" s="2">
        <v>46188</v>
      </c>
      <c r="C145" t="s">
        <v>316</v>
      </c>
      <c r="D145" t="s">
        <v>30</v>
      </c>
      <c r="E145" t="s">
        <v>60</v>
      </c>
      <c r="F145" t="s">
        <v>39</v>
      </c>
      <c r="G145" t="s">
        <v>18</v>
      </c>
      <c r="H145" t="s">
        <v>19</v>
      </c>
      <c r="I145">
        <v>3</v>
      </c>
      <c r="J145">
        <v>6500</v>
      </c>
      <c r="K145">
        <v>20</v>
      </c>
      <c r="L145" t="s">
        <v>35</v>
      </c>
      <c r="M145" t="s">
        <v>41</v>
      </c>
      <c r="N145">
        <f t="shared" si="2"/>
        <v>19500</v>
      </c>
      <c r="O145">
        <f>Table1[[#This Row],[Gross Sales]]*Table1[[#This Row],[Discount_Pct]]/100</f>
        <v>3900</v>
      </c>
      <c r="P145">
        <f>Table1[[#This Row],[Gross Sales]]-Table1[[#This Row],[Discount Amt]]</f>
        <v>15600</v>
      </c>
    </row>
    <row r="146" spans="1:16" x14ac:dyDescent="0.3">
      <c r="A146" t="s">
        <v>317</v>
      </c>
      <c r="B146" s="2">
        <v>46051</v>
      </c>
      <c r="C146" t="s">
        <v>318</v>
      </c>
      <c r="D146" t="s">
        <v>24</v>
      </c>
      <c r="E146" t="s">
        <v>96</v>
      </c>
      <c r="F146" t="s">
        <v>17</v>
      </c>
      <c r="G146" t="s">
        <v>18</v>
      </c>
      <c r="H146" t="s">
        <v>102</v>
      </c>
      <c r="I146">
        <v>5</v>
      </c>
      <c r="J146">
        <v>7500</v>
      </c>
      <c r="K146">
        <v>20</v>
      </c>
      <c r="L146" t="s">
        <v>35</v>
      </c>
      <c r="M146" t="s">
        <v>41</v>
      </c>
      <c r="N146">
        <f t="shared" si="2"/>
        <v>37500</v>
      </c>
      <c r="O146">
        <f>Table1[[#This Row],[Gross Sales]]*Table1[[#This Row],[Discount_Pct]]/100</f>
        <v>7500</v>
      </c>
      <c r="P146">
        <f>Table1[[#This Row],[Gross Sales]]-Table1[[#This Row],[Discount Amt]]</f>
        <v>30000</v>
      </c>
    </row>
    <row r="147" spans="1:16" x14ac:dyDescent="0.3">
      <c r="A147" t="s">
        <v>319</v>
      </c>
      <c r="B147" s="2">
        <v>46062</v>
      </c>
      <c r="C147" t="s">
        <v>320</v>
      </c>
      <c r="D147" t="s">
        <v>15</v>
      </c>
      <c r="E147" t="s">
        <v>51</v>
      </c>
      <c r="F147" t="s">
        <v>45</v>
      </c>
      <c r="G147" t="s">
        <v>25</v>
      </c>
      <c r="H147" t="s">
        <v>100</v>
      </c>
      <c r="I147">
        <v>7</v>
      </c>
      <c r="J147">
        <v>1800</v>
      </c>
      <c r="K147">
        <v>20</v>
      </c>
      <c r="L147" t="s">
        <v>53</v>
      </c>
      <c r="M147" t="s">
        <v>103</v>
      </c>
      <c r="N147">
        <f t="shared" si="2"/>
        <v>12600</v>
      </c>
      <c r="O147">
        <f>Table1[[#This Row],[Gross Sales]]*Table1[[#This Row],[Discount_Pct]]/100</f>
        <v>2520</v>
      </c>
      <c r="P147">
        <f>Table1[[#This Row],[Gross Sales]]-Table1[[#This Row],[Discount Amt]]</f>
        <v>10080</v>
      </c>
    </row>
    <row r="148" spans="1:16" x14ac:dyDescent="0.3">
      <c r="A148" t="s">
        <v>321</v>
      </c>
      <c r="B148" s="2">
        <v>46119</v>
      </c>
      <c r="C148" t="s">
        <v>322</v>
      </c>
      <c r="D148" t="s">
        <v>30</v>
      </c>
      <c r="E148" t="s">
        <v>96</v>
      </c>
      <c r="F148" t="s">
        <v>17</v>
      </c>
      <c r="G148" t="s">
        <v>18</v>
      </c>
      <c r="H148" t="s">
        <v>65</v>
      </c>
      <c r="I148">
        <v>3</v>
      </c>
      <c r="J148">
        <v>8200</v>
      </c>
      <c r="K148">
        <v>0</v>
      </c>
      <c r="L148" t="s">
        <v>53</v>
      </c>
      <c r="M148" t="s">
        <v>54</v>
      </c>
      <c r="N148">
        <f t="shared" si="2"/>
        <v>24600</v>
      </c>
      <c r="O148">
        <f>Table1[[#This Row],[Gross Sales]]*Table1[[#This Row],[Discount_Pct]]/100</f>
        <v>0</v>
      </c>
      <c r="P148">
        <f>Table1[[#This Row],[Gross Sales]]-Table1[[#This Row],[Discount Amt]]</f>
        <v>24600</v>
      </c>
    </row>
    <row r="149" spans="1:16" x14ac:dyDescent="0.3">
      <c r="A149" t="s">
        <v>323</v>
      </c>
      <c r="B149" s="2">
        <v>46111</v>
      </c>
      <c r="C149" t="s">
        <v>108</v>
      </c>
      <c r="D149" t="s">
        <v>15</v>
      </c>
      <c r="E149" t="s">
        <v>16</v>
      </c>
      <c r="F149" t="s">
        <v>17</v>
      </c>
      <c r="G149" t="s">
        <v>25</v>
      </c>
      <c r="H149" t="s">
        <v>151</v>
      </c>
      <c r="I149">
        <v>8</v>
      </c>
      <c r="J149">
        <v>2200</v>
      </c>
      <c r="K149">
        <v>20</v>
      </c>
      <c r="L149" t="s">
        <v>62</v>
      </c>
      <c r="M149" t="s">
        <v>41</v>
      </c>
      <c r="N149">
        <f t="shared" si="2"/>
        <v>17600</v>
      </c>
      <c r="O149">
        <f>Table1[[#This Row],[Gross Sales]]*Table1[[#This Row],[Discount_Pct]]/100</f>
        <v>3520</v>
      </c>
      <c r="P149">
        <f>Table1[[#This Row],[Gross Sales]]-Table1[[#This Row],[Discount Amt]]</f>
        <v>14080</v>
      </c>
    </row>
    <row r="150" spans="1:16" x14ac:dyDescent="0.3">
      <c r="A150" t="s">
        <v>324</v>
      </c>
      <c r="B150" s="2">
        <v>46213</v>
      </c>
      <c r="C150" t="s">
        <v>325</v>
      </c>
      <c r="D150" t="s">
        <v>15</v>
      </c>
      <c r="E150" t="s">
        <v>156</v>
      </c>
      <c r="F150" t="s">
        <v>39</v>
      </c>
      <c r="G150" t="s">
        <v>33</v>
      </c>
      <c r="H150" t="s">
        <v>97</v>
      </c>
      <c r="I150">
        <v>7</v>
      </c>
      <c r="J150">
        <v>250</v>
      </c>
      <c r="K150">
        <v>10</v>
      </c>
      <c r="L150" t="s">
        <v>35</v>
      </c>
      <c r="M150" t="s">
        <v>21</v>
      </c>
      <c r="N150">
        <f t="shared" si="2"/>
        <v>1750</v>
      </c>
      <c r="O150">
        <f>Table1[[#This Row],[Gross Sales]]*Table1[[#This Row],[Discount_Pct]]/100</f>
        <v>175</v>
      </c>
      <c r="P150">
        <f>Table1[[#This Row],[Gross Sales]]-Table1[[#This Row],[Discount Amt]]</f>
        <v>1575</v>
      </c>
    </row>
    <row r="151" spans="1:16" x14ac:dyDescent="0.3">
      <c r="A151" t="s">
        <v>326</v>
      </c>
      <c r="B151" s="2">
        <v>46191</v>
      </c>
      <c r="D151" t="s">
        <v>30</v>
      </c>
      <c r="E151" t="s">
        <v>118</v>
      </c>
      <c r="F151" t="s">
        <v>17</v>
      </c>
      <c r="G151" t="s">
        <v>18</v>
      </c>
      <c r="H151" t="s">
        <v>65</v>
      </c>
      <c r="I151">
        <v>5</v>
      </c>
      <c r="J151">
        <v>8200</v>
      </c>
      <c r="K151">
        <v>10</v>
      </c>
      <c r="L151" t="s">
        <v>53</v>
      </c>
      <c r="M151" t="s">
        <v>54</v>
      </c>
      <c r="N151">
        <f t="shared" si="2"/>
        <v>41000</v>
      </c>
      <c r="O151">
        <f>Table1[[#This Row],[Gross Sales]]*Table1[[#This Row],[Discount_Pct]]/100</f>
        <v>4100</v>
      </c>
      <c r="P151">
        <f>Table1[[#This Row],[Gross Sales]]-Table1[[#This Row],[Discount Amt]]</f>
        <v>36900</v>
      </c>
    </row>
    <row r="152" spans="1:16" x14ac:dyDescent="0.3">
      <c r="A152" t="s">
        <v>327</v>
      </c>
      <c r="B152" s="2">
        <v>46095</v>
      </c>
      <c r="C152" t="s">
        <v>70</v>
      </c>
      <c r="D152" t="s">
        <v>30</v>
      </c>
      <c r="E152" t="s">
        <v>156</v>
      </c>
      <c r="F152" t="s">
        <v>39</v>
      </c>
      <c r="G152" t="s">
        <v>33</v>
      </c>
      <c r="H152" t="s">
        <v>135</v>
      </c>
      <c r="I152">
        <v>7</v>
      </c>
      <c r="J152">
        <v>90</v>
      </c>
      <c r="K152">
        <v>5</v>
      </c>
      <c r="L152" t="s">
        <v>20</v>
      </c>
      <c r="M152" t="s">
        <v>103</v>
      </c>
      <c r="N152">
        <f t="shared" si="2"/>
        <v>630</v>
      </c>
      <c r="O152">
        <f>Table1[[#This Row],[Gross Sales]]*Table1[[#This Row],[Discount_Pct]]/100</f>
        <v>31.5</v>
      </c>
      <c r="P152">
        <f>Table1[[#This Row],[Gross Sales]]-Table1[[#This Row],[Discount Amt]]</f>
        <v>598.5</v>
      </c>
    </row>
    <row r="153" spans="1:16" x14ac:dyDescent="0.3">
      <c r="A153" t="s">
        <v>328</v>
      </c>
      <c r="B153" s="2">
        <v>46191</v>
      </c>
      <c r="C153" t="s">
        <v>329</v>
      </c>
      <c r="D153" t="s">
        <v>24</v>
      </c>
      <c r="E153" t="s">
        <v>60</v>
      </c>
      <c r="F153" t="s">
        <v>39</v>
      </c>
      <c r="G153" t="s">
        <v>25</v>
      </c>
      <c r="H153" t="s">
        <v>151</v>
      </c>
      <c r="I153">
        <v>2</v>
      </c>
      <c r="J153">
        <v>2200</v>
      </c>
      <c r="K153">
        <v>15</v>
      </c>
      <c r="L153" t="s">
        <v>35</v>
      </c>
      <c r="M153" t="s">
        <v>41</v>
      </c>
      <c r="N153">
        <f t="shared" si="2"/>
        <v>4400</v>
      </c>
      <c r="O153">
        <f>Table1[[#This Row],[Gross Sales]]*Table1[[#This Row],[Discount_Pct]]/100</f>
        <v>660</v>
      </c>
      <c r="P153">
        <f>Table1[[#This Row],[Gross Sales]]-Table1[[#This Row],[Discount Amt]]</f>
        <v>3740</v>
      </c>
    </row>
    <row r="154" spans="1:16" x14ac:dyDescent="0.3">
      <c r="A154" t="s">
        <v>330</v>
      </c>
      <c r="B154" s="2">
        <v>46115</v>
      </c>
      <c r="C154" t="s">
        <v>331</v>
      </c>
      <c r="D154" t="s">
        <v>24</v>
      </c>
      <c r="E154" t="s">
        <v>31</v>
      </c>
      <c r="F154" t="s">
        <v>32</v>
      </c>
      <c r="G154" t="s">
        <v>33</v>
      </c>
      <c r="H154" t="s">
        <v>97</v>
      </c>
      <c r="I154">
        <v>4</v>
      </c>
      <c r="J154">
        <v>250</v>
      </c>
      <c r="K154">
        <v>5</v>
      </c>
      <c r="L154" t="s">
        <v>35</v>
      </c>
      <c r="M154" t="s">
        <v>21</v>
      </c>
      <c r="N154">
        <f t="shared" si="2"/>
        <v>1000</v>
      </c>
      <c r="O154">
        <f>Table1[[#This Row],[Gross Sales]]*Table1[[#This Row],[Discount_Pct]]/100</f>
        <v>50</v>
      </c>
      <c r="P154">
        <f>Table1[[#This Row],[Gross Sales]]-Table1[[#This Row],[Discount Amt]]</f>
        <v>950</v>
      </c>
    </row>
    <row r="155" spans="1:16" x14ac:dyDescent="0.3">
      <c r="A155" t="s">
        <v>332</v>
      </c>
      <c r="B155" s="2">
        <v>46282</v>
      </c>
      <c r="C155" t="s">
        <v>333</v>
      </c>
      <c r="D155" t="s">
        <v>15</v>
      </c>
      <c r="E155" t="s">
        <v>38</v>
      </c>
      <c r="F155" t="s">
        <v>39</v>
      </c>
      <c r="G155" t="s">
        <v>18</v>
      </c>
      <c r="H155" t="s">
        <v>79</v>
      </c>
      <c r="I155">
        <v>1</v>
      </c>
      <c r="J155">
        <v>1600</v>
      </c>
      <c r="K155">
        <v>10</v>
      </c>
      <c r="L155" t="s">
        <v>48</v>
      </c>
      <c r="M155" t="s">
        <v>27</v>
      </c>
      <c r="N155">
        <f t="shared" si="2"/>
        <v>1600</v>
      </c>
      <c r="O155">
        <f>Table1[[#This Row],[Gross Sales]]*Table1[[#This Row],[Discount_Pct]]/100</f>
        <v>160</v>
      </c>
      <c r="P155">
        <f>Table1[[#This Row],[Gross Sales]]-Table1[[#This Row],[Discount Amt]]</f>
        <v>1440</v>
      </c>
    </row>
    <row r="156" spans="1:16" x14ac:dyDescent="0.3">
      <c r="A156" t="s">
        <v>334</v>
      </c>
      <c r="B156" s="2">
        <v>46106</v>
      </c>
      <c r="C156" t="s">
        <v>335</v>
      </c>
      <c r="D156" t="s">
        <v>30</v>
      </c>
      <c r="E156" t="s">
        <v>213</v>
      </c>
      <c r="F156" t="s">
        <v>17</v>
      </c>
      <c r="G156" t="s">
        <v>18</v>
      </c>
      <c r="H156" t="s">
        <v>79</v>
      </c>
      <c r="I156">
        <v>3</v>
      </c>
      <c r="J156">
        <v>1600</v>
      </c>
      <c r="K156">
        <v>20</v>
      </c>
      <c r="L156" t="s">
        <v>62</v>
      </c>
      <c r="M156" t="s">
        <v>103</v>
      </c>
      <c r="N156">
        <f t="shared" si="2"/>
        <v>4800</v>
      </c>
      <c r="O156">
        <f>Table1[[#This Row],[Gross Sales]]*Table1[[#This Row],[Discount_Pct]]/100</f>
        <v>960</v>
      </c>
      <c r="P156">
        <f>Table1[[#This Row],[Gross Sales]]-Table1[[#This Row],[Discount Amt]]</f>
        <v>3840</v>
      </c>
    </row>
    <row r="157" spans="1:16" x14ac:dyDescent="0.3">
      <c r="A157" t="s">
        <v>336</v>
      </c>
      <c r="B157" s="2">
        <v>46168</v>
      </c>
      <c r="C157" t="s">
        <v>337</v>
      </c>
      <c r="D157" t="s">
        <v>24</v>
      </c>
      <c r="E157" t="s">
        <v>38</v>
      </c>
      <c r="F157" t="s">
        <v>39</v>
      </c>
      <c r="G157" t="s">
        <v>18</v>
      </c>
      <c r="H157" t="s">
        <v>65</v>
      </c>
      <c r="I157">
        <v>4</v>
      </c>
      <c r="J157">
        <v>8200</v>
      </c>
      <c r="K157">
        <v>5</v>
      </c>
      <c r="L157" t="s">
        <v>35</v>
      </c>
      <c r="M157" t="s">
        <v>66</v>
      </c>
      <c r="N157">
        <f t="shared" si="2"/>
        <v>32800</v>
      </c>
      <c r="O157">
        <f>Table1[[#This Row],[Gross Sales]]*Table1[[#This Row],[Discount_Pct]]/100</f>
        <v>1640</v>
      </c>
      <c r="P157">
        <f>Table1[[#This Row],[Gross Sales]]-Table1[[#This Row],[Discount Amt]]</f>
        <v>31160</v>
      </c>
    </row>
    <row r="158" spans="1:16" x14ac:dyDescent="0.3">
      <c r="A158" t="s">
        <v>338</v>
      </c>
      <c r="B158" s="2">
        <v>46248</v>
      </c>
      <c r="C158" t="s">
        <v>237</v>
      </c>
      <c r="D158" t="s">
        <v>24</v>
      </c>
      <c r="E158" t="s">
        <v>82</v>
      </c>
      <c r="F158" t="s">
        <v>32</v>
      </c>
      <c r="G158" t="s">
        <v>33</v>
      </c>
      <c r="H158" t="s">
        <v>97</v>
      </c>
      <c r="I158">
        <v>7</v>
      </c>
      <c r="J158">
        <v>250</v>
      </c>
      <c r="K158">
        <v>5</v>
      </c>
      <c r="L158" t="s">
        <v>35</v>
      </c>
      <c r="M158" t="s">
        <v>21</v>
      </c>
      <c r="N158">
        <f t="shared" si="2"/>
        <v>1750</v>
      </c>
      <c r="O158">
        <f>Table1[[#This Row],[Gross Sales]]*Table1[[#This Row],[Discount_Pct]]/100</f>
        <v>87.5</v>
      </c>
      <c r="P158">
        <f>Table1[[#This Row],[Gross Sales]]-Table1[[#This Row],[Discount Amt]]</f>
        <v>1662.5</v>
      </c>
    </row>
    <row r="159" spans="1:16" x14ac:dyDescent="0.3">
      <c r="A159" t="s">
        <v>339</v>
      </c>
      <c r="B159" s="2">
        <v>46269</v>
      </c>
      <c r="C159" t="s">
        <v>340</v>
      </c>
      <c r="D159" t="s">
        <v>24</v>
      </c>
      <c r="E159" t="s">
        <v>60</v>
      </c>
      <c r="F159" t="s">
        <v>39</v>
      </c>
      <c r="G159" t="s">
        <v>33</v>
      </c>
      <c r="H159" t="s">
        <v>34</v>
      </c>
      <c r="I159">
        <v>2</v>
      </c>
      <c r="J159">
        <v>420</v>
      </c>
      <c r="K159">
        <v>0</v>
      </c>
      <c r="L159" t="s">
        <v>35</v>
      </c>
      <c r="M159" t="s">
        <v>103</v>
      </c>
      <c r="N159">
        <f t="shared" si="2"/>
        <v>840</v>
      </c>
      <c r="O159">
        <f>Table1[[#This Row],[Gross Sales]]*Table1[[#This Row],[Discount_Pct]]/100</f>
        <v>0</v>
      </c>
      <c r="P159">
        <f>Table1[[#This Row],[Gross Sales]]-Table1[[#This Row],[Discount Amt]]</f>
        <v>840</v>
      </c>
    </row>
    <row r="160" spans="1:16" x14ac:dyDescent="0.3">
      <c r="A160" t="s">
        <v>341</v>
      </c>
      <c r="B160" s="2">
        <v>46285</v>
      </c>
      <c r="C160" t="s">
        <v>297</v>
      </c>
      <c r="D160" t="s">
        <v>30</v>
      </c>
      <c r="E160" t="s">
        <v>213</v>
      </c>
      <c r="F160" t="s">
        <v>17</v>
      </c>
      <c r="G160" t="s">
        <v>33</v>
      </c>
      <c r="H160" t="s">
        <v>40</v>
      </c>
      <c r="I160">
        <v>4</v>
      </c>
      <c r="J160">
        <v>120</v>
      </c>
      <c r="K160">
        <v>20</v>
      </c>
      <c r="L160" t="s">
        <v>53</v>
      </c>
      <c r="M160" t="s">
        <v>103</v>
      </c>
      <c r="N160">
        <f t="shared" si="2"/>
        <v>480</v>
      </c>
      <c r="O160">
        <f>Table1[[#This Row],[Gross Sales]]*Table1[[#This Row],[Discount_Pct]]/100</f>
        <v>96</v>
      </c>
      <c r="P160">
        <f>Table1[[#This Row],[Gross Sales]]-Table1[[#This Row],[Discount Amt]]</f>
        <v>384</v>
      </c>
    </row>
    <row r="161" spans="1:16" x14ac:dyDescent="0.3">
      <c r="A161" t="s">
        <v>342</v>
      </c>
      <c r="B161" s="2">
        <v>46280</v>
      </c>
      <c r="C161" t="s">
        <v>81</v>
      </c>
      <c r="D161" t="s">
        <v>30</v>
      </c>
      <c r="E161" t="s">
        <v>96</v>
      </c>
      <c r="F161" t="s">
        <v>17</v>
      </c>
      <c r="G161" t="s">
        <v>25</v>
      </c>
      <c r="H161" t="s">
        <v>76</v>
      </c>
      <c r="I161">
        <v>2</v>
      </c>
      <c r="J161">
        <v>12500</v>
      </c>
      <c r="K161">
        <v>10</v>
      </c>
      <c r="L161" t="s">
        <v>53</v>
      </c>
      <c r="M161" t="s">
        <v>66</v>
      </c>
      <c r="N161">
        <f t="shared" si="2"/>
        <v>25000</v>
      </c>
      <c r="O161">
        <f>Table1[[#This Row],[Gross Sales]]*Table1[[#This Row],[Discount_Pct]]/100</f>
        <v>2500</v>
      </c>
      <c r="P161">
        <f>Table1[[#This Row],[Gross Sales]]-Table1[[#This Row],[Discount Amt]]</f>
        <v>22500</v>
      </c>
    </row>
    <row r="162" spans="1:16" x14ac:dyDescent="0.3">
      <c r="A162" t="s">
        <v>343</v>
      </c>
      <c r="B162" s="2">
        <v>46194</v>
      </c>
      <c r="C162" t="s">
        <v>344</v>
      </c>
      <c r="D162" t="s">
        <v>15</v>
      </c>
      <c r="E162" t="s">
        <v>38</v>
      </c>
      <c r="F162" t="s">
        <v>39</v>
      </c>
      <c r="G162" t="s">
        <v>25</v>
      </c>
      <c r="H162" t="s">
        <v>61</v>
      </c>
      <c r="I162">
        <v>1</v>
      </c>
      <c r="J162">
        <v>450</v>
      </c>
      <c r="K162">
        <v>10</v>
      </c>
      <c r="L162" t="s">
        <v>48</v>
      </c>
      <c r="M162" t="s">
        <v>103</v>
      </c>
      <c r="N162">
        <f t="shared" si="2"/>
        <v>450</v>
      </c>
      <c r="O162">
        <f>Table1[[#This Row],[Gross Sales]]*Table1[[#This Row],[Discount_Pct]]/100</f>
        <v>45</v>
      </c>
      <c r="P162">
        <f>Table1[[#This Row],[Gross Sales]]-Table1[[#This Row],[Discount Amt]]</f>
        <v>405</v>
      </c>
    </row>
    <row r="163" spans="1:16" x14ac:dyDescent="0.3">
      <c r="A163" t="s">
        <v>345</v>
      </c>
      <c r="B163" s="2">
        <v>46025</v>
      </c>
      <c r="C163" t="s">
        <v>346</v>
      </c>
      <c r="D163" t="s">
        <v>15</v>
      </c>
      <c r="E163" t="s">
        <v>156</v>
      </c>
      <c r="F163" t="s">
        <v>39</v>
      </c>
      <c r="G163" t="s">
        <v>25</v>
      </c>
      <c r="H163" t="s">
        <v>26</v>
      </c>
      <c r="I163">
        <v>5</v>
      </c>
      <c r="J163">
        <v>700</v>
      </c>
      <c r="K163">
        <v>5</v>
      </c>
      <c r="L163" t="s">
        <v>20</v>
      </c>
      <c r="M163" t="s">
        <v>54</v>
      </c>
      <c r="N163">
        <f t="shared" si="2"/>
        <v>3500</v>
      </c>
      <c r="O163">
        <f>Table1[[#This Row],[Gross Sales]]*Table1[[#This Row],[Discount_Pct]]/100</f>
        <v>175</v>
      </c>
      <c r="P163">
        <f>Table1[[#This Row],[Gross Sales]]-Table1[[#This Row],[Discount Amt]]</f>
        <v>3325</v>
      </c>
    </row>
    <row r="164" spans="1:16" x14ac:dyDescent="0.3">
      <c r="A164" t="s">
        <v>347</v>
      </c>
      <c r="B164" s="2">
        <v>46239</v>
      </c>
      <c r="C164" t="s">
        <v>230</v>
      </c>
      <c r="D164" t="s">
        <v>30</v>
      </c>
      <c r="E164" t="s">
        <v>118</v>
      </c>
      <c r="F164" t="s">
        <v>17</v>
      </c>
      <c r="G164" t="s">
        <v>33</v>
      </c>
      <c r="H164" t="s">
        <v>52</v>
      </c>
      <c r="I164">
        <v>5</v>
      </c>
      <c r="J164">
        <v>180</v>
      </c>
      <c r="K164">
        <v>0</v>
      </c>
      <c r="L164" t="s">
        <v>20</v>
      </c>
      <c r="M164" t="s">
        <v>103</v>
      </c>
      <c r="N164">
        <f t="shared" si="2"/>
        <v>900</v>
      </c>
      <c r="O164">
        <f>Table1[[#This Row],[Gross Sales]]*Table1[[#This Row],[Discount_Pct]]/100</f>
        <v>0</v>
      </c>
      <c r="P164">
        <f>Table1[[#This Row],[Gross Sales]]-Table1[[#This Row],[Discount Amt]]</f>
        <v>900</v>
      </c>
    </row>
    <row r="165" spans="1:16" x14ac:dyDescent="0.3">
      <c r="A165" t="s">
        <v>348</v>
      </c>
      <c r="B165" s="2">
        <v>46055</v>
      </c>
      <c r="C165" t="s">
        <v>64</v>
      </c>
      <c r="D165" t="s">
        <v>30</v>
      </c>
      <c r="E165" t="s">
        <v>118</v>
      </c>
      <c r="F165" t="s">
        <v>17</v>
      </c>
      <c r="G165" t="s">
        <v>33</v>
      </c>
      <c r="H165" t="s">
        <v>34</v>
      </c>
      <c r="I165">
        <v>1</v>
      </c>
      <c r="J165">
        <v>420</v>
      </c>
      <c r="K165">
        <v>5</v>
      </c>
      <c r="L165" t="s">
        <v>53</v>
      </c>
      <c r="M165" t="s">
        <v>54</v>
      </c>
      <c r="N165">
        <f t="shared" si="2"/>
        <v>420</v>
      </c>
      <c r="O165">
        <f>Table1[[#This Row],[Gross Sales]]*Table1[[#This Row],[Discount_Pct]]/100</f>
        <v>21</v>
      </c>
      <c r="P165">
        <f>Table1[[#This Row],[Gross Sales]]-Table1[[#This Row],[Discount Amt]]</f>
        <v>399</v>
      </c>
    </row>
    <row r="166" spans="1:16" x14ac:dyDescent="0.3">
      <c r="A166" t="s">
        <v>349</v>
      </c>
      <c r="B166" s="2">
        <v>46203</v>
      </c>
      <c r="C166" t="s">
        <v>329</v>
      </c>
      <c r="D166" t="s">
        <v>24</v>
      </c>
      <c r="E166" t="s">
        <v>31</v>
      </c>
      <c r="F166" t="s">
        <v>32</v>
      </c>
      <c r="G166" t="s">
        <v>18</v>
      </c>
      <c r="H166" t="s">
        <v>65</v>
      </c>
      <c r="I166">
        <v>3</v>
      </c>
      <c r="J166">
        <v>8200</v>
      </c>
      <c r="K166">
        <v>0</v>
      </c>
      <c r="L166" t="s">
        <v>20</v>
      </c>
      <c r="M166" t="s">
        <v>54</v>
      </c>
      <c r="N166">
        <f t="shared" si="2"/>
        <v>24600</v>
      </c>
      <c r="O166">
        <f>Table1[[#This Row],[Gross Sales]]*Table1[[#This Row],[Discount_Pct]]/100</f>
        <v>0</v>
      </c>
      <c r="P166">
        <f>Table1[[#This Row],[Gross Sales]]-Table1[[#This Row],[Discount Amt]]</f>
        <v>24600</v>
      </c>
    </row>
    <row r="167" spans="1:16" x14ac:dyDescent="0.3">
      <c r="A167" t="s">
        <v>350</v>
      </c>
      <c r="B167" s="2">
        <v>46282</v>
      </c>
      <c r="C167" t="s">
        <v>351</v>
      </c>
      <c r="D167" t="s">
        <v>15</v>
      </c>
      <c r="E167" t="s">
        <v>38</v>
      </c>
      <c r="F167" t="s">
        <v>39</v>
      </c>
      <c r="G167" t="s">
        <v>18</v>
      </c>
      <c r="H167" t="s">
        <v>79</v>
      </c>
      <c r="I167">
        <v>1</v>
      </c>
      <c r="J167">
        <v>1600</v>
      </c>
      <c r="K167">
        <v>15</v>
      </c>
      <c r="L167" t="s">
        <v>48</v>
      </c>
      <c r="M167" t="s">
        <v>41</v>
      </c>
      <c r="N167">
        <f t="shared" si="2"/>
        <v>1600</v>
      </c>
      <c r="O167">
        <f>Table1[[#This Row],[Gross Sales]]*Table1[[#This Row],[Discount_Pct]]/100</f>
        <v>240</v>
      </c>
      <c r="P167">
        <f>Table1[[#This Row],[Gross Sales]]-Table1[[#This Row],[Discount Amt]]</f>
        <v>1360</v>
      </c>
    </row>
    <row r="168" spans="1:16" x14ac:dyDescent="0.3">
      <c r="A168" t="s">
        <v>352</v>
      </c>
      <c r="B168" s="2">
        <v>46152</v>
      </c>
      <c r="C168" t="s">
        <v>175</v>
      </c>
      <c r="D168" t="s">
        <v>15</v>
      </c>
      <c r="E168" t="s">
        <v>44</v>
      </c>
      <c r="F168" t="s">
        <v>45</v>
      </c>
      <c r="G168" t="s">
        <v>25</v>
      </c>
      <c r="H168" t="s">
        <v>89</v>
      </c>
      <c r="I168">
        <v>2</v>
      </c>
      <c r="J168">
        <v>1200</v>
      </c>
      <c r="K168">
        <v>10</v>
      </c>
      <c r="L168" t="s">
        <v>35</v>
      </c>
      <c r="M168" t="s">
        <v>27</v>
      </c>
      <c r="N168">
        <f t="shared" si="2"/>
        <v>2400</v>
      </c>
      <c r="O168">
        <f>Table1[[#This Row],[Gross Sales]]*Table1[[#This Row],[Discount_Pct]]/100</f>
        <v>240</v>
      </c>
      <c r="P168">
        <f>Table1[[#This Row],[Gross Sales]]-Table1[[#This Row],[Discount Amt]]</f>
        <v>2160</v>
      </c>
    </row>
    <row r="169" spans="1:16" x14ac:dyDescent="0.3">
      <c r="A169" t="s">
        <v>353</v>
      </c>
      <c r="B169" s="2">
        <v>46045</v>
      </c>
      <c r="C169" t="s">
        <v>344</v>
      </c>
      <c r="D169" t="s">
        <v>24</v>
      </c>
      <c r="E169" t="s">
        <v>96</v>
      </c>
      <c r="F169" t="s">
        <v>17</v>
      </c>
      <c r="G169" t="s">
        <v>18</v>
      </c>
      <c r="H169" t="s">
        <v>19</v>
      </c>
      <c r="I169">
        <v>3</v>
      </c>
      <c r="J169">
        <v>6500</v>
      </c>
      <c r="K169">
        <v>20</v>
      </c>
      <c r="L169" t="s">
        <v>53</v>
      </c>
      <c r="M169" t="s">
        <v>66</v>
      </c>
      <c r="N169">
        <f t="shared" si="2"/>
        <v>19500</v>
      </c>
      <c r="O169">
        <f>Table1[[#This Row],[Gross Sales]]*Table1[[#This Row],[Discount_Pct]]/100</f>
        <v>3900</v>
      </c>
      <c r="P169">
        <f>Table1[[#This Row],[Gross Sales]]-Table1[[#This Row],[Discount Amt]]</f>
        <v>15600</v>
      </c>
    </row>
    <row r="170" spans="1:16" x14ac:dyDescent="0.3">
      <c r="A170" t="s">
        <v>354</v>
      </c>
      <c r="B170" s="2">
        <v>46257</v>
      </c>
      <c r="C170" t="s">
        <v>128</v>
      </c>
      <c r="D170" t="s">
        <v>30</v>
      </c>
      <c r="E170" t="s">
        <v>16</v>
      </c>
      <c r="F170" t="s">
        <v>17</v>
      </c>
      <c r="G170" t="s">
        <v>33</v>
      </c>
      <c r="H170" t="s">
        <v>52</v>
      </c>
      <c r="I170">
        <v>1</v>
      </c>
      <c r="J170">
        <v>180</v>
      </c>
      <c r="K170">
        <v>5</v>
      </c>
      <c r="L170" t="s">
        <v>20</v>
      </c>
      <c r="M170" t="s">
        <v>103</v>
      </c>
      <c r="N170">
        <f t="shared" si="2"/>
        <v>180</v>
      </c>
      <c r="O170">
        <f>Table1[[#This Row],[Gross Sales]]*Table1[[#This Row],[Discount_Pct]]/100</f>
        <v>9</v>
      </c>
      <c r="P170">
        <f>Table1[[#This Row],[Gross Sales]]-Table1[[#This Row],[Discount Amt]]</f>
        <v>171</v>
      </c>
    </row>
    <row r="171" spans="1:16" x14ac:dyDescent="0.3">
      <c r="A171" t="s">
        <v>355</v>
      </c>
      <c r="B171" s="2">
        <v>46265</v>
      </c>
      <c r="C171" t="s">
        <v>297</v>
      </c>
      <c r="D171" t="s">
        <v>15</v>
      </c>
      <c r="E171" t="s">
        <v>122</v>
      </c>
      <c r="F171" t="s">
        <v>17</v>
      </c>
      <c r="G171" t="s">
        <v>25</v>
      </c>
      <c r="H171" t="s">
        <v>151</v>
      </c>
      <c r="I171">
        <v>4</v>
      </c>
      <c r="J171">
        <v>2200</v>
      </c>
      <c r="K171">
        <v>10</v>
      </c>
      <c r="L171" t="s">
        <v>35</v>
      </c>
      <c r="M171" t="s">
        <v>41</v>
      </c>
      <c r="N171">
        <f t="shared" si="2"/>
        <v>8800</v>
      </c>
      <c r="O171">
        <f>Table1[[#This Row],[Gross Sales]]*Table1[[#This Row],[Discount_Pct]]/100</f>
        <v>880</v>
      </c>
      <c r="P171">
        <f>Table1[[#This Row],[Gross Sales]]-Table1[[#This Row],[Discount Amt]]</f>
        <v>7920</v>
      </c>
    </row>
    <row r="172" spans="1:16" x14ac:dyDescent="0.3">
      <c r="A172" t="s">
        <v>356</v>
      </c>
      <c r="B172" s="2">
        <v>46086</v>
      </c>
      <c r="C172" t="s">
        <v>357</v>
      </c>
      <c r="D172" t="s">
        <v>24</v>
      </c>
      <c r="E172" t="s">
        <v>38</v>
      </c>
      <c r="F172" t="s">
        <v>39</v>
      </c>
      <c r="G172" t="s">
        <v>33</v>
      </c>
      <c r="H172" t="s">
        <v>97</v>
      </c>
      <c r="I172">
        <v>7</v>
      </c>
      <c r="J172">
        <v>250</v>
      </c>
      <c r="K172">
        <v>20</v>
      </c>
      <c r="L172" t="s">
        <v>48</v>
      </c>
      <c r="M172" t="s">
        <v>66</v>
      </c>
      <c r="N172">
        <f t="shared" si="2"/>
        <v>1750</v>
      </c>
      <c r="O172">
        <f>Table1[[#This Row],[Gross Sales]]*Table1[[#This Row],[Discount_Pct]]/100</f>
        <v>350</v>
      </c>
      <c r="P172">
        <f>Table1[[#This Row],[Gross Sales]]-Table1[[#This Row],[Discount Amt]]</f>
        <v>1400</v>
      </c>
    </row>
    <row r="173" spans="1:16" x14ac:dyDescent="0.3">
      <c r="A173" t="s">
        <v>358</v>
      </c>
      <c r="B173" s="2">
        <v>46277</v>
      </c>
      <c r="C173" t="s">
        <v>164</v>
      </c>
      <c r="D173" t="s">
        <v>15</v>
      </c>
      <c r="E173" t="s">
        <v>96</v>
      </c>
      <c r="F173" t="s">
        <v>17</v>
      </c>
      <c r="G173" t="s">
        <v>18</v>
      </c>
      <c r="H173" t="s">
        <v>19</v>
      </c>
      <c r="I173">
        <v>2</v>
      </c>
      <c r="J173">
        <v>6500</v>
      </c>
      <c r="K173">
        <v>15</v>
      </c>
      <c r="L173" t="s">
        <v>62</v>
      </c>
      <c r="M173" t="s">
        <v>54</v>
      </c>
      <c r="N173">
        <f t="shared" si="2"/>
        <v>13000</v>
      </c>
      <c r="O173">
        <f>Table1[[#This Row],[Gross Sales]]*Table1[[#This Row],[Discount_Pct]]/100</f>
        <v>1950</v>
      </c>
      <c r="P173">
        <f>Table1[[#This Row],[Gross Sales]]-Table1[[#This Row],[Discount Amt]]</f>
        <v>11050</v>
      </c>
    </row>
    <row r="174" spans="1:16" x14ac:dyDescent="0.3">
      <c r="A174" t="s">
        <v>359</v>
      </c>
      <c r="B174" s="2">
        <v>46173</v>
      </c>
      <c r="C174" t="s">
        <v>337</v>
      </c>
      <c r="D174" t="s">
        <v>15</v>
      </c>
      <c r="E174" t="s">
        <v>96</v>
      </c>
      <c r="F174" t="s">
        <v>17</v>
      </c>
      <c r="G174" t="s">
        <v>25</v>
      </c>
      <c r="H174" t="s">
        <v>26</v>
      </c>
      <c r="I174">
        <v>6</v>
      </c>
      <c r="J174">
        <v>700</v>
      </c>
      <c r="K174">
        <v>10</v>
      </c>
      <c r="L174" t="s">
        <v>48</v>
      </c>
      <c r="M174" t="s">
        <v>27</v>
      </c>
      <c r="N174">
        <f t="shared" si="2"/>
        <v>4200</v>
      </c>
      <c r="O174">
        <f>Table1[[#This Row],[Gross Sales]]*Table1[[#This Row],[Discount_Pct]]/100</f>
        <v>420</v>
      </c>
      <c r="P174">
        <f>Table1[[#This Row],[Gross Sales]]-Table1[[#This Row],[Discount Amt]]</f>
        <v>3780</v>
      </c>
    </row>
    <row r="175" spans="1:16" x14ac:dyDescent="0.3">
      <c r="A175" t="s">
        <v>360</v>
      </c>
      <c r="B175" s="2">
        <v>46250</v>
      </c>
      <c r="C175" t="s">
        <v>361</v>
      </c>
      <c r="D175" t="s">
        <v>24</v>
      </c>
      <c r="E175" t="s">
        <v>96</v>
      </c>
      <c r="F175" t="s">
        <v>17</v>
      </c>
      <c r="G175" t="s">
        <v>33</v>
      </c>
      <c r="H175" t="s">
        <v>40</v>
      </c>
      <c r="I175">
        <v>6</v>
      </c>
      <c r="J175">
        <v>120</v>
      </c>
      <c r="K175">
        <v>15</v>
      </c>
      <c r="L175" t="s">
        <v>48</v>
      </c>
      <c r="M175" t="s">
        <v>41</v>
      </c>
      <c r="N175">
        <f t="shared" si="2"/>
        <v>720</v>
      </c>
      <c r="O175">
        <f>Table1[[#This Row],[Gross Sales]]*Table1[[#This Row],[Discount_Pct]]/100</f>
        <v>108</v>
      </c>
      <c r="P175">
        <f>Table1[[#This Row],[Gross Sales]]-Table1[[#This Row],[Discount Amt]]</f>
        <v>612</v>
      </c>
    </row>
    <row r="176" spans="1:16" x14ac:dyDescent="0.3">
      <c r="A176" t="s">
        <v>362</v>
      </c>
      <c r="B176" s="2">
        <v>46285</v>
      </c>
      <c r="C176" t="s">
        <v>301</v>
      </c>
      <c r="D176" t="s">
        <v>24</v>
      </c>
      <c r="E176" t="s">
        <v>38</v>
      </c>
      <c r="F176" t="s">
        <v>39</v>
      </c>
      <c r="G176" t="s">
        <v>18</v>
      </c>
      <c r="H176" t="s">
        <v>58</v>
      </c>
      <c r="I176">
        <v>1</v>
      </c>
      <c r="J176">
        <v>9000</v>
      </c>
      <c r="K176">
        <v>5</v>
      </c>
      <c r="L176" t="s">
        <v>62</v>
      </c>
      <c r="M176" t="s">
        <v>21</v>
      </c>
      <c r="N176">
        <f t="shared" si="2"/>
        <v>9000</v>
      </c>
      <c r="O176">
        <f>Table1[[#This Row],[Gross Sales]]*Table1[[#This Row],[Discount_Pct]]/100</f>
        <v>450</v>
      </c>
      <c r="P176">
        <f>Table1[[#This Row],[Gross Sales]]-Table1[[#This Row],[Discount Amt]]</f>
        <v>8550</v>
      </c>
    </row>
    <row r="177" spans="1:16" x14ac:dyDescent="0.3">
      <c r="A177" t="s">
        <v>363</v>
      </c>
      <c r="B177" s="2">
        <v>46143</v>
      </c>
      <c r="C177" t="s">
        <v>166</v>
      </c>
      <c r="D177" t="s">
        <v>15</v>
      </c>
      <c r="E177" t="s">
        <v>38</v>
      </c>
      <c r="F177" t="s">
        <v>39</v>
      </c>
      <c r="G177" t="s">
        <v>18</v>
      </c>
      <c r="H177" t="s">
        <v>19</v>
      </c>
      <c r="I177">
        <v>6</v>
      </c>
      <c r="J177">
        <v>6500</v>
      </c>
      <c r="K177">
        <v>15</v>
      </c>
      <c r="L177" t="s">
        <v>62</v>
      </c>
      <c r="M177" t="s">
        <v>66</v>
      </c>
      <c r="N177">
        <f t="shared" si="2"/>
        <v>39000</v>
      </c>
      <c r="O177">
        <f>Table1[[#This Row],[Gross Sales]]*Table1[[#This Row],[Discount_Pct]]/100</f>
        <v>5850</v>
      </c>
      <c r="P177">
        <f>Table1[[#This Row],[Gross Sales]]-Table1[[#This Row],[Discount Amt]]</f>
        <v>33150</v>
      </c>
    </row>
    <row r="178" spans="1:16" x14ac:dyDescent="0.3">
      <c r="A178" t="s">
        <v>364</v>
      </c>
      <c r="B178" s="2">
        <v>46253</v>
      </c>
      <c r="C178" t="s">
        <v>329</v>
      </c>
      <c r="D178" t="s">
        <v>30</v>
      </c>
      <c r="E178" t="s">
        <v>96</v>
      </c>
      <c r="F178" t="s">
        <v>17</v>
      </c>
      <c r="G178" t="s">
        <v>33</v>
      </c>
      <c r="H178" t="s">
        <v>97</v>
      </c>
      <c r="I178">
        <v>2</v>
      </c>
      <c r="J178">
        <v>250</v>
      </c>
      <c r="K178">
        <v>5</v>
      </c>
      <c r="L178" t="s">
        <v>35</v>
      </c>
      <c r="M178" t="s">
        <v>66</v>
      </c>
      <c r="N178">
        <f t="shared" si="2"/>
        <v>500</v>
      </c>
      <c r="O178">
        <f>Table1[[#This Row],[Gross Sales]]*Table1[[#This Row],[Discount_Pct]]/100</f>
        <v>25</v>
      </c>
      <c r="P178">
        <f>Table1[[#This Row],[Gross Sales]]-Table1[[#This Row],[Discount Amt]]</f>
        <v>475</v>
      </c>
    </row>
    <row r="179" spans="1:16" x14ac:dyDescent="0.3">
      <c r="A179" t="s">
        <v>365</v>
      </c>
      <c r="B179" s="2">
        <v>46165</v>
      </c>
      <c r="C179" t="s">
        <v>253</v>
      </c>
      <c r="D179" t="s">
        <v>15</v>
      </c>
      <c r="E179" t="s">
        <v>31</v>
      </c>
      <c r="F179" t="s">
        <v>32</v>
      </c>
      <c r="G179" t="s">
        <v>25</v>
      </c>
      <c r="H179" t="s">
        <v>26</v>
      </c>
      <c r="I179">
        <v>3</v>
      </c>
      <c r="J179">
        <v>700</v>
      </c>
      <c r="K179">
        <v>20</v>
      </c>
      <c r="L179" t="s">
        <v>53</v>
      </c>
      <c r="M179" t="s">
        <v>41</v>
      </c>
      <c r="N179">
        <f t="shared" si="2"/>
        <v>2100</v>
      </c>
      <c r="O179">
        <f>Table1[[#This Row],[Gross Sales]]*Table1[[#This Row],[Discount_Pct]]/100</f>
        <v>420</v>
      </c>
      <c r="P179">
        <f>Table1[[#This Row],[Gross Sales]]-Table1[[#This Row],[Discount Amt]]</f>
        <v>1680</v>
      </c>
    </row>
    <row r="180" spans="1:16" x14ac:dyDescent="0.3">
      <c r="A180" t="s">
        <v>366</v>
      </c>
      <c r="B180" s="2">
        <v>46156</v>
      </c>
      <c r="C180" t="s">
        <v>367</v>
      </c>
      <c r="D180" t="s">
        <v>24</v>
      </c>
      <c r="E180" t="s">
        <v>44</v>
      </c>
      <c r="F180" t="s">
        <v>45</v>
      </c>
      <c r="G180" t="s">
        <v>33</v>
      </c>
      <c r="H180" t="s">
        <v>52</v>
      </c>
      <c r="I180">
        <v>5</v>
      </c>
      <c r="J180">
        <v>180</v>
      </c>
      <c r="K180">
        <v>20</v>
      </c>
      <c r="L180" t="s">
        <v>53</v>
      </c>
      <c r="M180" t="s">
        <v>103</v>
      </c>
      <c r="N180">
        <f t="shared" si="2"/>
        <v>900</v>
      </c>
      <c r="O180">
        <f>Table1[[#This Row],[Gross Sales]]*Table1[[#This Row],[Discount_Pct]]/100</f>
        <v>180</v>
      </c>
      <c r="P180">
        <f>Table1[[#This Row],[Gross Sales]]-Table1[[#This Row],[Discount Amt]]</f>
        <v>720</v>
      </c>
    </row>
    <row r="181" spans="1:16" x14ac:dyDescent="0.3">
      <c r="A181" t="s">
        <v>368</v>
      </c>
      <c r="B181" s="2">
        <v>46111</v>
      </c>
      <c r="C181" t="s">
        <v>117</v>
      </c>
      <c r="D181" t="s">
        <v>15</v>
      </c>
      <c r="E181" t="s">
        <v>156</v>
      </c>
      <c r="F181" t="s">
        <v>39</v>
      </c>
      <c r="G181" t="s">
        <v>18</v>
      </c>
      <c r="H181" t="s">
        <v>65</v>
      </c>
      <c r="I181">
        <v>2</v>
      </c>
      <c r="J181">
        <v>8200</v>
      </c>
      <c r="K181">
        <v>10</v>
      </c>
      <c r="L181" t="s">
        <v>20</v>
      </c>
      <c r="M181" t="s">
        <v>41</v>
      </c>
      <c r="N181">
        <f t="shared" si="2"/>
        <v>16400</v>
      </c>
      <c r="O181">
        <f>Table1[[#This Row],[Gross Sales]]*Table1[[#This Row],[Discount_Pct]]/100</f>
        <v>1640</v>
      </c>
      <c r="P181">
        <f>Table1[[#This Row],[Gross Sales]]-Table1[[#This Row],[Discount Amt]]</f>
        <v>14760</v>
      </c>
    </row>
    <row r="182" spans="1:16" x14ac:dyDescent="0.3">
      <c r="A182" t="s">
        <v>369</v>
      </c>
      <c r="B182" s="2">
        <v>46176</v>
      </c>
      <c r="C182" t="s">
        <v>91</v>
      </c>
      <c r="D182" t="s">
        <v>24</v>
      </c>
      <c r="E182" t="s">
        <v>60</v>
      </c>
      <c r="F182" t="s">
        <v>39</v>
      </c>
      <c r="G182" t="s">
        <v>25</v>
      </c>
      <c r="H182" t="s">
        <v>151</v>
      </c>
      <c r="I182">
        <v>3</v>
      </c>
      <c r="J182">
        <v>2200</v>
      </c>
      <c r="K182">
        <v>10</v>
      </c>
      <c r="L182" t="s">
        <v>62</v>
      </c>
      <c r="M182" t="s">
        <v>27</v>
      </c>
      <c r="N182">
        <f t="shared" si="2"/>
        <v>6600</v>
      </c>
      <c r="O182">
        <f>Table1[[#This Row],[Gross Sales]]*Table1[[#This Row],[Discount_Pct]]/100</f>
        <v>660</v>
      </c>
      <c r="P182">
        <f>Table1[[#This Row],[Gross Sales]]-Table1[[#This Row],[Discount Amt]]</f>
        <v>5940</v>
      </c>
    </row>
    <row r="183" spans="1:16" x14ac:dyDescent="0.3">
      <c r="A183" t="s">
        <v>370</v>
      </c>
      <c r="B183" s="2">
        <v>46144</v>
      </c>
      <c r="C183" t="s">
        <v>371</v>
      </c>
      <c r="D183" t="s">
        <v>24</v>
      </c>
      <c r="E183" t="s">
        <v>38</v>
      </c>
      <c r="F183" t="s">
        <v>39</v>
      </c>
      <c r="G183" t="s">
        <v>33</v>
      </c>
      <c r="H183" t="s">
        <v>40</v>
      </c>
      <c r="I183">
        <v>6</v>
      </c>
      <c r="J183">
        <v>120</v>
      </c>
      <c r="K183">
        <v>10</v>
      </c>
      <c r="L183" t="s">
        <v>20</v>
      </c>
      <c r="M183" t="s">
        <v>21</v>
      </c>
      <c r="N183">
        <f t="shared" si="2"/>
        <v>720</v>
      </c>
      <c r="O183">
        <f>Table1[[#This Row],[Gross Sales]]*Table1[[#This Row],[Discount_Pct]]/100</f>
        <v>72</v>
      </c>
      <c r="P183">
        <f>Table1[[#This Row],[Gross Sales]]-Table1[[#This Row],[Discount Amt]]</f>
        <v>648</v>
      </c>
    </row>
    <row r="184" spans="1:16" x14ac:dyDescent="0.3">
      <c r="A184" t="s">
        <v>372</v>
      </c>
      <c r="B184" s="2">
        <v>46056</v>
      </c>
      <c r="C184" t="s">
        <v>373</v>
      </c>
      <c r="D184" t="s">
        <v>24</v>
      </c>
      <c r="E184" t="s">
        <v>122</v>
      </c>
      <c r="F184" t="s">
        <v>17</v>
      </c>
      <c r="G184" t="s">
        <v>33</v>
      </c>
      <c r="H184" t="s">
        <v>133</v>
      </c>
      <c r="I184">
        <v>8</v>
      </c>
      <c r="J184">
        <v>350</v>
      </c>
      <c r="K184">
        <v>15</v>
      </c>
      <c r="L184" t="s">
        <v>62</v>
      </c>
      <c r="M184" t="s">
        <v>41</v>
      </c>
      <c r="N184">
        <f t="shared" si="2"/>
        <v>2800</v>
      </c>
      <c r="O184">
        <f>Table1[[#This Row],[Gross Sales]]*Table1[[#This Row],[Discount_Pct]]/100</f>
        <v>420</v>
      </c>
      <c r="P184">
        <f>Table1[[#This Row],[Gross Sales]]-Table1[[#This Row],[Discount Amt]]</f>
        <v>2380</v>
      </c>
    </row>
    <row r="185" spans="1:16" x14ac:dyDescent="0.3">
      <c r="A185" t="s">
        <v>374</v>
      </c>
      <c r="B185" s="2">
        <v>46060</v>
      </c>
      <c r="C185" t="s">
        <v>295</v>
      </c>
      <c r="D185" t="s">
        <v>24</v>
      </c>
      <c r="E185" t="s">
        <v>82</v>
      </c>
      <c r="F185" t="s">
        <v>32</v>
      </c>
      <c r="G185" t="s">
        <v>33</v>
      </c>
      <c r="H185" t="s">
        <v>133</v>
      </c>
      <c r="I185">
        <v>6</v>
      </c>
      <c r="J185">
        <v>350</v>
      </c>
      <c r="K185">
        <v>5</v>
      </c>
      <c r="L185" t="s">
        <v>62</v>
      </c>
      <c r="M185" t="s">
        <v>103</v>
      </c>
      <c r="N185">
        <f t="shared" si="2"/>
        <v>2100</v>
      </c>
      <c r="O185">
        <f>Table1[[#This Row],[Gross Sales]]*Table1[[#This Row],[Discount_Pct]]/100</f>
        <v>105</v>
      </c>
      <c r="P185">
        <f>Table1[[#This Row],[Gross Sales]]-Table1[[#This Row],[Discount Amt]]</f>
        <v>1995</v>
      </c>
    </row>
    <row r="186" spans="1:16" x14ac:dyDescent="0.3">
      <c r="A186" t="s">
        <v>375</v>
      </c>
      <c r="B186" s="2">
        <v>46280</v>
      </c>
      <c r="C186" t="s">
        <v>130</v>
      </c>
      <c r="D186" t="s">
        <v>30</v>
      </c>
      <c r="E186" t="s">
        <v>156</v>
      </c>
      <c r="F186" t="s">
        <v>39</v>
      </c>
      <c r="G186" t="s">
        <v>25</v>
      </c>
      <c r="H186" t="s">
        <v>26</v>
      </c>
      <c r="I186">
        <v>3</v>
      </c>
      <c r="J186">
        <v>700</v>
      </c>
      <c r="K186">
        <v>10</v>
      </c>
      <c r="L186" t="s">
        <v>62</v>
      </c>
      <c r="M186" t="s">
        <v>41</v>
      </c>
      <c r="N186">
        <f t="shared" si="2"/>
        <v>2100</v>
      </c>
      <c r="O186">
        <f>Table1[[#This Row],[Gross Sales]]*Table1[[#This Row],[Discount_Pct]]/100</f>
        <v>210</v>
      </c>
      <c r="P186">
        <f>Table1[[#This Row],[Gross Sales]]-Table1[[#This Row],[Discount Amt]]</f>
        <v>1890</v>
      </c>
    </row>
    <row r="187" spans="1:16" x14ac:dyDescent="0.3">
      <c r="A187" t="s">
        <v>376</v>
      </c>
      <c r="B187" s="2">
        <v>46288</v>
      </c>
      <c r="C187" t="s">
        <v>72</v>
      </c>
      <c r="D187" t="s">
        <v>24</v>
      </c>
      <c r="E187" t="s">
        <v>156</v>
      </c>
      <c r="F187" t="s">
        <v>39</v>
      </c>
      <c r="G187" t="s">
        <v>33</v>
      </c>
      <c r="H187" t="s">
        <v>40</v>
      </c>
      <c r="I187">
        <v>5</v>
      </c>
      <c r="J187">
        <v>120</v>
      </c>
      <c r="K187">
        <v>5</v>
      </c>
      <c r="L187" t="s">
        <v>35</v>
      </c>
      <c r="M187" t="s">
        <v>54</v>
      </c>
      <c r="N187">
        <f t="shared" si="2"/>
        <v>600</v>
      </c>
      <c r="O187">
        <f>Table1[[#This Row],[Gross Sales]]*Table1[[#This Row],[Discount_Pct]]/100</f>
        <v>30</v>
      </c>
      <c r="P187">
        <f>Table1[[#This Row],[Gross Sales]]-Table1[[#This Row],[Discount Amt]]</f>
        <v>570</v>
      </c>
    </row>
    <row r="188" spans="1:16" x14ac:dyDescent="0.3">
      <c r="A188" t="s">
        <v>377</v>
      </c>
      <c r="B188" s="2">
        <v>46070</v>
      </c>
      <c r="C188" t="s">
        <v>178</v>
      </c>
      <c r="D188" t="s">
        <v>30</v>
      </c>
      <c r="E188" t="s">
        <v>57</v>
      </c>
      <c r="F188" t="s">
        <v>32</v>
      </c>
      <c r="G188" t="s">
        <v>18</v>
      </c>
      <c r="H188" t="s">
        <v>58</v>
      </c>
      <c r="I188">
        <v>3</v>
      </c>
      <c r="J188">
        <v>9000</v>
      </c>
      <c r="K188">
        <v>5</v>
      </c>
      <c r="L188" t="s">
        <v>20</v>
      </c>
      <c r="M188" t="s">
        <v>21</v>
      </c>
      <c r="N188">
        <f t="shared" si="2"/>
        <v>27000</v>
      </c>
      <c r="O188">
        <f>Table1[[#This Row],[Gross Sales]]*Table1[[#This Row],[Discount_Pct]]/100</f>
        <v>1350</v>
      </c>
      <c r="P188">
        <f>Table1[[#This Row],[Gross Sales]]-Table1[[#This Row],[Discount Amt]]</f>
        <v>25650</v>
      </c>
    </row>
    <row r="189" spans="1:16" x14ac:dyDescent="0.3">
      <c r="A189" t="s">
        <v>378</v>
      </c>
      <c r="B189" s="2">
        <v>46037</v>
      </c>
      <c r="C189" t="s">
        <v>379</v>
      </c>
      <c r="D189" t="s">
        <v>15</v>
      </c>
      <c r="E189" t="s">
        <v>118</v>
      </c>
      <c r="F189" t="s">
        <v>17</v>
      </c>
      <c r="G189" t="s">
        <v>25</v>
      </c>
      <c r="H189" t="s">
        <v>151</v>
      </c>
      <c r="I189">
        <v>5</v>
      </c>
      <c r="J189">
        <v>2200</v>
      </c>
      <c r="K189">
        <v>5</v>
      </c>
      <c r="L189" t="s">
        <v>53</v>
      </c>
      <c r="M189" t="s">
        <v>103</v>
      </c>
      <c r="N189">
        <f t="shared" si="2"/>
        <v>11000</v>
      </c>
      <c r="O189">
        <f>Table1[[#This Row],[Gross Sales]]*Table1[[#This Row],[Discount_Pct]]/100</f>
        <v>550</v>
      </c>
      <c r="P189">
        <f>Table1[[#This Row],[Gross Sales]]-Table1[[#This Row],[Discount Amt]]</f>
        <v>10450</v>
      </c>
    </row>
    <row r="190" spans="1:16" x14ac:dyDescent="0.3">
      <c r="A190" t="s">
        <v>380</v>
      </c>
      <c r="B190" s="2">
        <v>46171</v>
      </c>
      <c r="C190" t="s">
        <v>337</v>
      </c>
      <c r="D190" t="s">
        <v>24</v>
      </c>
      <c r="E190" t="s">
        <v>51</v>
      </c>
      <c r="F190" t="s">
        <v>45</v>
      </c>
      <c r="G190" t="s">
        <v>33</v>
      </c>
      <c r="H190" t="s">
        <v>97</v>
      </c>
      <c r="I190">
        <v>4</v>
      </c>
      <c r="J190">
        <v>250</v>
      </c>
      <c r="K190">
        <v>15</v>
      </c>
      <c r="L190" t="s">
        <v>53</v>
      </c>
      <c r="N190">
        <f t="shared" si="2"/>
        <v>1000</v>
      </c>
      <c r="O190">
        <f>Table1[[#This Row],[Gross Sales]]*Table1[[#This Row],[Discount_Pct]]/100</f>
        <v>150</v>
      </c>
      <c r="P190">
        <f>Table1[[#This Row],[Gross Sales]]-Table1[[#This Row],[Discount Amt]]</f>
        <v>850</v>
      </c>
    </row>
    <row r="191" spans="1:16" x14ac:dyDescent="0.3">
      <c r="A191" t="s">
        <v>381</v>
      </c>
      <c r="B191" s="2">
        <v>46248</v>
      </c>
      <c r="C191" t="s">
        <v>333</v>
      </c>
      <c r="D191" t="s">
        <v>30</v>
      </c>
      <c r="E191" t="s">
        <v>75</v>
      </c>
      <c r="F191" t="s">
        <v>32</v>
      </c>
      <c r="G191" t="s">
        <v>33</v>
      </c>
      <c r="H191" t="s">
        <v>97</v>
      </c>
      <c r="I191">
        <v>4</v>
      </c>
      <c r="J191">
        <v>250</v>
      </c>
      <c r="K191">
        <v>10</v>
      </c>
      <c r="L191" t="s">
        <v>35</v>
      </c>
      <c r="M191" t="s">
        <v>66</v>
      </c>
      <c r="N191">
        <f t="shared" si="2"/>
        <v>1000</v>
      </c>
      <c r="O191">
        <f>Table1[[#This Row],[Gross Sales]]*Table1[[#This Row],[Discount_Pct]]/100</f>
        <v>100</v>
      </c>
      <c r="P191">
        <f>Table1[[#This Row],[Gross Sales]]-Table1[[#This Row],[Discount Amt]]</f>
        <v>900</v>
      </c>
    </row>
    <row r="192" spans="1:16" x14ac:dyDescent="0.3">
      <c r="A192" t="s">
        <v>382</v>
      </c>
      <c r="B192" s="2">
        <v>46199</v>
      </c>
      <c r="C192" t="s">
        <v>189</v>
      </c>
      <c r="D192" t="s">
        <v>24</v>
      </c>
      <c r="E192" t="s">
        <v>75</v>
      </c>
      <c r="F192" t="s">
        <v>32</v>
      </c>
      <c r="G192" t="s">
        <v>25</v>
      </c>
      <c r="H192" t="s">
        <v>89</v>
      </c>
      <c r="I192">
        <v>2</v>
      </c>
      <c r="J192">
        <v>1200</v>
      </c>
      <c r="K192">
        <v>10</v>
      </c>
      <c r="L192" t="s">
        <v>35</v>
      </c>
      <c r="M192" t="s">
        <v>103</v>
      </c>
      <c r="N192">
        <f t="shared" si="2"/>
        <v>2400</v>
      </c>
      <c r="O192">
        <f>Table1[[#This Row],[Gross Sales]]*Table1[[#This Row],[Discount_Pct]]/100</f>
        <v>240</v>
      </c>
      <c r="P192">
        <f>Table1[[#This Row],[Gross Sales]]-Table1[[#This Row],[Discount Amt]]</f>
        <v>2160</v>
      </c>
    </row>
    <row r="193" spans="1:16" x14ac:dyDescent="0.3">
      <c r="A193" t="s">
        <v>383</v>
      </c>
      <c r="B193" s="2">
        <v>46149</v>
      </c>
      <c r="C193" t="s">
        <v>384</v>
      </c>
      <c r="D193" t="s">
        <v>24</v>
      </c>
      <c r="E193" t="s">
        <v>213</v>
      </c>
      <c r="F193" t="s">
        <v>17</v>
      </c>
      <c r="G193" t="s">
        <v>25</v>
      </c>
      <c r="H193" t="s">
        <v>26</v>
      </c>
      <c r="I193">
        <v>5</v>
      </c>
      <c r="J193">
        <v>700</v>
      </c>
      <c r="K193">
        <v>15</v>
      </c>
      <c r="L193" t="s">
        <v>62</v>
      </c>
      <c r="M193" t="s">
        <v>41</v>
      </c>
      <c r="N193">
        <f t="shared" si="2"/>
        <v>3500</v>
      </c>
      <c r="O193">
        <f>Table1[[#This Row],[Gross Sales]]*Table1[[#This Row],[Discount_Pct]]/100</f>
        <v>525</v>
      </c>
      <c r="P193">
        <f>Table1[[#This Row],[Gross Sales]]-Table1[[#This Row],[Discount Amt]]</f>
        <v>2975</v>
      </c>
    </row>
    <row r="194" spans="1:16" x14ac:dyDescent="0.3">
      <c r="A194" t="s">
        <v>385</v>
      </c>
      <c r="B194" s="2">
        <v>46183</v>
      </c>
      <c r="C194" t="s">
        <v>337</v>
      </c>
      <c r="D194" t="s">
        <v>24</v>
      </c>
      <c r="E194" t="s">
        <v>31</v>
      </c>
      <c r="F194" t="s">
        <v>32</v>
      </c>
      <c r="G194" t="s">
        <v>25</v>
      </c>
      <c r="H194" t="s">
        <v>76</v>
      </c>
      <c r="I194">
        <v>8</v>
      </c>
      <c r="J194">
        <v>12500</v>
      </c>
      <c r="K194">
        <v>20</v>
      </c>
      <c r="L194" t="s">
        <v>53</v>
      </c>
      <c r="M194" t="s">
        <v>103</v>
      </c>
      <c r="N194">
        <f t="shared" si="2"/>
        <v>100000</v>
      </c>
      <c r="O194">
        <f>Table1[[#This Row],[Gross Sales]]*Table1[[#This Row],[Discount_Pct]]/100</f>
        <v>20000</v>
      </c>
      <c r="P194">
        <f>Table1[[#This Row],[Gross Sales]]-Table1[[#This Row],[Discount Amt]]</f>
        <v>80000</v>
      </c>
    </row>
    <row r="195" spans="1:16" x14ac:dyDescent="0.3">
      <c r="A195" t="s">
        <v>386</v>
      </c>
      <c r="B195" s="2">
        <v>46281</v>
      </c>
      <c r="C195" t="s">
        <v>263</v>
      </c>
      <c r="D195" t="s">
        <v>30</v>
      </c>
      <c r="E195" t="s">
        <v>82</v>
      </c>
      <c r="F195" t="s">
        <v>32</v>
      </c>
      <c r="G195" t="s">
        <v>25</v>
      </c>
      <c r="H195" t="s">
        <v>61</v>
      </c>
      <c r="I195">
        <v>6</v>
      </c>
      <c r="J195">
        <v>450</v>
      </c>
      <c r="K195">
        <v>0</v>
      </c>
      <c r="L195" t="s">
        <v>20</v>
      </c>
      <c r="M195" t="s">
        <v>66</v>
      </c>
      <c r="N195">
        <f t="shared" ref="N195:N201" si="3">I195*J195</f>
        <v>2700</v>
      </c>
      <c r="O195">
        <f>Table1[[#This Row],[Gross Sales]]*Table1[[#This Row],[Discount_Pct]]/100</f>
        <v>0</v>
      </c>
      <c r="P195">
        <f>Table1[[#This Row],[Gross Sales]]-Table1[[#This Row],[Discount Amt]]</f>
        <v>2700</v>
      </c>
    </row>
    <row r="196" spans="1:16" x14ac:dyDescent="0.3">
      <c r="A196" t="s">
        <v>387</v>
      </c>
      <c r="B196" s="2">
        <v>46263</v>
      </c>
      <c r="C196" t="s">
        <v>64</v>
      </c>
      <c r="D196" t="s">
        <v>15</v>
      </c>
      <c r="E196" t="s">
        <v>122</v>
      </c>
      <c r="F196" t="s">
        <v>17</v>
      </c>
      <c r="G196" t="s">
        <v>18</v>
      </c>
      <c r="H196" t="s">
        <v>102</v>
      </c>
      <c r="I196">
        <v>2</v>
      </c>
      <c r="J196">
        <v>7500</v>
      </c>
      <c r="K196">
        <v>15</v>
      </c>
      <c r="L196" t="s">
        <v>35</v>
      </c>
      <c r="M196" t="s">
        <v>103</v>
      </c>
      <c r="N196">
        <f t="shared" si="3"/>
        <v>15000</v>
      </c>
      <c r="O196">
        <f>Table1[[#This Row],[Gross Sales]]*Table1[[#This Row],[Discount_Pct]]/100</f>
        <v>2250</v>
      </c>
      <c r="P196">
        <f>Table1[[#This Row],[Gross Sales]]-Table1[[#This Row],[Discount Amt]]</f>
        <v>12750</v>
      </c>
    </row>
    <row r="197" spans="1:16" x14ac:dyDescent="0.3">
      <c r="A197" t="s">
        <v>388</v>
      </c>
      <c r="B197" s="2">
        <v>46210</v>
      </c>
      <c r="C197" t="s">
        <v>72</v>
      </c>
      <c r="D197" t="s">
        <v>24</v>
      </c>
      <c r="E197" t="s">
        <v>16</v>
      </c>
      <c r="F197" t="s">
        <v>17</v>
      </c>
      <c r="G197" t="s">
        <v>33</v>
      </c>
      <c r="H197" t="s">
        <v>40</v>
      </c>
      <c r="I197">
        <v>4</v>
      </c>
      <c r="J197">
        <v>120</v>
      </c>
      <c r="K197">
        <v>10</v>
      </c>
      <c r="L197" t="s">
        <v>48</v>
      </c>
      <c r="M197" t="s">
        <v>54</v>
      </c>
      <c r="N197">
        <f t="shared" si="3"/>
        <v>480</v>
      </c>
      <c r="O197">
        <f>Table1[[#This Row],[Gross Sales]]*Table1[[#This Row],[Discount_Pct]]/100</f>
        <v>48</v>
      </c>
      <c r="P197">
        <f>Table1[[#This Row],[Gross Sales]]-Table1[[#This Row],[Discount Amt]]</f>
        <v>432</v>
      </c>
    </row>
    <row r="198" spans="1:16" x14ac:dyDescent="0.3">
      <c r="A198" t="s">
        <v>389</v>
      </c>
      <c r="B198" s="2">
        <v>46253</v>
      </c>
      <c r="C198" t="s">
        <v>184</v>
      </c>
      <c r="D198" t="s">
        <v>30</v>
      </c>
      <c r="E198" t="s">
        <v>38</v>
      </c>
      <c r="F198" t="s">
        <v>39</v>
      </c>
      <c r="G198" t="s">
        <v>18</v>
      </c>
      <c r="H198" t="s">
        <v>19</v>
      </c>
      <c r="I198">
        <v>2</v>
      </c>
      <c r="J198">
        <v>6500</v>
      </c>
      <c r="K198">
        <v>5</v>
      </c>
      <c r="L198" t="s">
        <v>35</v>
      </c>
      <c r="M198" t="s">
        <v>54</v>
      </c>
      <c r="N198">
        <f t="shared" si="3"/>
        <v>13000</v>
      </c>
      <c r="O198">
        <f>Table1[[#This Row],[Gross Sales]]*Table1[[#This Row],[Discount_Pct]]/100</f>
        <v>650</v>
      </c>
      <c r="P198">
        <f>Table1[[#This Row],[Gross Sales]]-Table1[[#This Row],[Discount Amt]]</f>
        <v>12350</v>
      </c>
    </row>
    <row r="199" spans="1:16" x14ac:dyDescent="0.3">
      <c r="A199" t="s">
        <v>390</v>
      </c>
      <c r="B199" s="2">
        <v>46210</v>
      </c>
      <c r="C199" t="s">
        <v>391</v>
      </c>
      <c r="D199" t="s">
        <v>24</v>
      </c>
      <c r="E199" t="s">
        <v>38</v>
      </c>
      <c r="F199" t="s">
        <v>39</v>
      </c>
      <c r="G199" t="s">
        <v>25</v>
      </c>
      <c r="H199" t="s">
        <v>61</v>
      </c>
      <c r="I199">
        <v>7</v>
      </c>
      <c r="J199">
        <v>450</v>
      </c>
      <c r="K199">
        <v>0</v>
      </c>
      <c r="L199" t="s">
        <v>35</v>
      </c>
      <c r="M199" t="s">
        <v>103</v>
      </c>
      <c r="N199">
        <f t="shared" si="3"/>
        <v>3150</v>
      </c>
      <c r="O199">
        <f>Table1[[#This Row],[Gross Sales]]*Table1[[#This Row],[Discount_Pct]]/100</f>
        <v>0</v>
      </c>
      <c r="P199">
        <f>Table1[[#This Row],[Gross Sales]]-Table1[[#This Row],[Discount Amt]]</f>
        <v>3150</v>
      </c>
    </row>
    <row r="200" spans="1:16" x14ac:dyDescent="0.3">
      <c r="A200" t="s">
        <v>392</v>
      </c>
      <c r="B200" s="2">
        <v>46288</v>
      </c>
      <c r="C200" t="s">
        <v>393</v>
      </c>
      <c r="D200" t="s">
        <v>24</v>
      </c>
      <c r="E200" t="s">
        <v>82</v>
      </c>
      <c r="F200" t="s">
        <v>32</v>
      </c>
      <c r="G200" t="s">
        <v>25</v>
      </c>
      <c r="H200" t="s">
        <v>100</v>
      </c>
      <c r="I200">
        <v>3</v>
      </c>
      <c r="J200">
        <v>1800</v>
      </c>
      <c r="K200">
        <v>10</v>
      </c>
      <c r="L200" t="s">
        <v>48</v>
      </c>
      <c r="M200" t="s">
        <v>54</v>
      </c>
      <c r="N200">
        <f t="shared" si="3"/>
        <v>5400</v>
      </c>
      <c r="O200">
        <f>Table1[[#This Row],[Gross Sales]]*Table1[[#This Row],[Discount_Pct]]/100</f>
        <v>540</v>
      </c>
      <c r="P200">
        <f>Table1[[#This Row],[Gross Sales]]-Table1[[#This Row],[Discount Amt]]</f>
        <v>4860</v>
      </c>
    </row>
    <row r="201" spans="1:16" x14ac:dyDescent="0.3">
      <c r="A201" t="s">
        <v>394</v>
      </c>
      <c r="B201" s="2">
        <v>46176</v>
      </c>
      <c r="C201" t="s">
        <v>351</v>
      </c>
      <c r="D201" t="s">
        <v>30</v>
      </c>
      <c r="E201" t="s">
        <v>113</v>
      </c>
      <c r="F201" t="s">
        <v>45</v>
      </c>
      <c r="G201" t="s">
        <v>33</v>
      </c>
      <c r="H201" t="s">
        <v>34</v>
      </c>
      <c r="I201">
        <v>8</v>
      </c>
      <c r="J201">
        <v>420</v>
      </c>
      <c r="K201">
        <v>10</v>
      </c>
      <c r="L201" t="s">
        <v>35</v>
      </c>
      <c r="M201" t="s">
        <v>66</v>
      </c>
      <c r="N201">
        <f t="shared" si="3"/>
        <v>3360</v>
      </c>
      <c r="O201">
        <f>Table1[[#This Row],[Gross Sales]]*Table1[[#This Row],[Discount_Pct]]/100</f>
        <v>336</v>
      </c>
      <c r="P201">
        <f>Table1[[#This Row],[Gross Sales]]-Table1[[#This Row],[Discount Amt]]</f>
        <v>3024</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62A8C-B4F1-4391-90E9-ECEDAAEAE90A}">
  <dimension ref="A1:C12"/>
  <sheetViews>
    <sheetView workbookViewId="0">
      <selection activeCell="B6" sqref="B6"/>
    </sheetView>
  </sheetViews>
  <sheetFormatPr defaultRowHeight="14.4" x14ac:dyDescent="0.3"/>
  <cols>
    <col min="1" max="1" width="20.44140625" bestFit="1" customWidth="1"/>
    <col min="2" max="2" width="19.5546875" bestFit="1" customWidth="1"/>
  </cols>
  <sheetData>
    <row r="1" spans="1:3" x14ac:dyDescent="0.3">
      <c r="A1" s="4" t="s">
        <v>404</v>
      </c>
      <c r="B1" s="4" t="s">
        <v>405</v>
      </c>
      <c r="C1" s="4"/>
    </row>
    <row r="2" spans="1:3" x14ac:dyDescent="0.3">
      <c r="A2" t="s">
        <v>406</v>
      </c>
      <c r="B2">
        <f>COUNTA(Table1[Order_ID])</f>
        <v>200</v>
      </c>
    </row>
    <row r="3" spans="1:3" x14ac:dyDescent="0.3">
      <c r="A3" t="s">
        <v>401</v>
      </c>
      <c r="B3">
        <f>SUM(Table1[Gross Sales])</f>
        <v>3060370</v>
      </c>
    </row>
    <row r="4" spans="1:3" x14ac:dyDescent="0.3">
      <c r="A4" t="s">
        <v>410</v>
      </c>
      <c r="B4">
        <f>AVERAGE(Table1[Discount Amt])</f>
        <v>1486.8025</v>
      </c>
    </row>
    <row r="5" spans="1:3" x14ac:dyDescent="0.3">
      <c r="A5" t="s">
        <v>403</v>
      </c>
      <c r="B5" s="5">
        <f>ROUND(B3-B10,2)</f>
        <v>2763009.5</v>
      </c>
    </row>
    <row r="6" spans="1:3" x14ac:dyDescent="0.3">
      <c r="A6" t="s">
        <v>408</v>
      </c>
      <c r="B6">
        <f>MAX(Table1[Net Sales])</f>
        <v>90000</v>
      </c>
    </row>
    <row r="7" spans="1:3" x14ac:dyDescent="0.3">
      <c r="A7" t="s">
        <v>409</v>
      </c>
      <c r="B7">
        <f>MIN(Table1[Net Sales])</f>
        <v>96</v>
      </c>
    </row>
    <row r="8" spans="1:3" x14ac:dyDescent="0.3">
      <c r="A8" t="s">
        <v>411</v>
      </c>
      <c r="B8">
        <f>SUM(Table1[Quantity])</f>
        <v>867</v>
      </c>
    </row>
    <row r="9" spans="1:3" x14ac:dyDescent="0.3">
      <c r="A9" t="s">
        <v>412</v>
      </c>
      <c r="B9">
        <f>ROUND(B5/B2,2)</f>
        <v>13815.05</v>
      </c>
    </row>
    <row r="10" spans="1:3" x14ac:dyDescent="0.3">
      <c r="A10" t="s">
        <v>407</v>
      </c>
      <c r="B10">
        <f>SUM(Table1[Discount Amt])</f>
        <v>297360.5</v>
      </c>
    </row>
    <row r="11" spans="1:3" x14ac:dyDescent="0.3">
      <c r="A11" t="s">
        <v>413</v>
      </c>
      <c r="B11">
        <f>COUNTA(_xlfn.UNIQUE(Raw_Data!C2:C150))</f>
        <v>109</v>
      </c>
    </row>
    <row r="12" spans="1:3" x14ac:dyDescent="0.3">
      <c r="A12" t="s">
        <v>414</v>
      </c>
      <c r="B12" s="7">
        <f>B8/B2</f>
        <v>4.335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EC40C-DDF7-422B-975D-067F8643023E}">
  <dimension ref="A3:I22"/>
  <sheetViews>
    <sheetView workbookViewId="0">
      <selection activeCell="L21" sqref="L21"/>
    </sheetView>
  </sheetViews>
  <sheetFormatPr defaultRowHeight="14.4" x14ac:dyDescent="0.3"/>
  <cols>
    <col min="1" max="1" width="13.109375" bestFit="1" customWidth="1"/>
    <col min="2" max="2" width="15.88671875" bestFit="1" customWidth="1"/>
    <col min="3" max="3" width="14.88671875" bestFit="1" customWidth="1"/>
    <col min="4" max="4" width="16.44140625" bestFit="1" customWidth="1"/>
    <col min="5" max="5" width="12.5546875" bestFit="1" customWidth="1"/>
    <col min="6" max="6" width="10.5546875" bestFit="1" customWidth="1"/>
    <col min="7" max="7" width="14.109375" bestFit="1" customWidth="1"/>
    <col min="8" max="8" width="12.5546875" bestFit="1" customWidth="1"/>
    <col min="9" max="9" width="14.6640625" bestFit="1" customWidth="1"/>
  </cols>
  <sheetData>
    <row r="3" spans="1:9" x14ac:dyDescent="0.3">
      <c r="A3" s="8" t="s">
        <v>415</v>
      </c>
      <c r="B3" t="s">
        <v>420</v>
      </c>
      <c r="C3" t="s">
        <v>419</v>
      </c>
      <c r="D3" t="s">
        <v>418</v>
      </c>
      <c r="F3" s="8" t="s">
        <v>415</v>
      </c>
      <c r="G3" t="s">
        <v>417</v>
      </c>
      <c r="H3" t="s">
        <v>418</v>
      </c>
    </row>
    <row r="4" spans="1:9" x14ac:dyDescent="0.3">
      <c r="A4" s="6" t="s">
        <v>25</v>
      </c>
      <c r="B4" s="9">
        <v>1128835</v>
      </c>
      <c r="C4" s="9">
        <v>289</v>
      </c>
      <c r="D4" s="9">
        <v>63</v>
      </c>
      <c r="F4" s="6" t="s">
        <v>39</v>
      </c>
      <c r="G4" s="9">
        <v>597873</v>
      </c>
      <c r="H4" s="9">
        <v>44</v>
      </c>
    </row>
    <row r="5" spans="1:9" x14ac:dyDescent="0.3">
      <c r="A5" s="6" t="s">
        <v>18</v>
      </c>
      <c r="B5" s="9">
        <v>1569405</v>
      </c>
      <c r="C5" s="9">
        <v>278</v>
      </c>
      <c r="D5" s="9">
        <v>71</v>
      </c>
      <c r="F5" s="6" t="s">
        <v>17</v>
      </c>
      <c r="G5" s="9">
        <v>902656</v>
      </c>
      <c r="H5" s="9">
        <v>69</v>
      </c>
    </row>
    <row r="6" spans="1:9" x14ac:dyDescent="0.3">
      <c r="A6" s="6" t="s">
        <v>33</v>
      </c>
      <c r="B6" s="9">
        <v>64769.5</v>
      </c>
      <c r="C6" s="9">
        <v>300</v>
      </c>
      <c r="D6" s="9">
        <v>66</v>
      </c>
      <c r="F6" s="6" t="s">
        <v>45</v>
      </c>
      <c r="G6" s="9">
        <v>594546.5</v>
      </c>
      <c r="H6" s="9">
        <v>38</v>
      </c>
    </row>
    <row r="7" spans="1:9" x14ac:dyDescent="0.3">
      <c r="A7" s="6" t="s">
        <v>416</v>
      </c>
      <c r="B7" s="9">
        <v>2763009.5</v>
      </c>
      <c r="C7" s="9">
        <v>867</v>
      </c>
      <c r="D7" s="9">
        <v>200</v>
      </c>
      <c r="F7" s="6" t="s">
        <v>32</v>
      </c>
      <c r="G7" s="9">
        <v>667934</v>
      </c>
      <c r="H7" s="9">
        <v>49</v>
      </c>
    </row>
    <row r="8" spans="1:9" x14ac:dyDescent="0.3">
      <c r="F8" s="6" t="s">
        <v>416</v>
      </c>
      <c r="G8" s="9">
        <v>2763009.5</v>
      </c>
      <c r="H8" s="9">
        <v>200</v>
      </c>
    </row>
    <row r="11" spans="1:9" x14ac:dyDescent="0.3">
      <c r="A11" s="8" t="s">
        <v>415</v>
      </c>
      <c r="B11" t="s">
        <v>422</v>
      </c>
      <c r="C11" t="s">
        <v>418</v>
      </c>
      <c r="E11" s="8" t="s">
        <v>415</v>
      </c>
      <c r="F11" t="s">
        <v>432</v>
      </c>
      <c r="H11" s="8" t="s">
        <v>415</v>
      </c>
      <c r="I11" t="s">
        <v>433</v>
      </c>
    </row>
    <row r="12" spans="1:9" x14ac:dyDescent="0.3">
      <c r="A12" s="6" t="s">
        <v>21</v>
      </c>
      <c r="B12" s="9">
        <v>522096</v>
      </c>
      <c r="C12" s="9">
        <v>31</v>
      </c>
      <c r="E12" s="6" t="s">
        <v>423</v>
      </c>
      <c r="F12" s="9">
        <v>395426.5</v>
      </c>
      <c r="H12" s="6" t="s">
        <v>19</v>
      </c>
      <c r="I12" s="9">
        <v>390650</v>
      </c>
    </row>
    <row r="13" spans="1:9" x14ac:dyDescent="0.3">
      <c r="A13" s="6" t="s">
        <v>54</v>
      </c>
      <c r="B13" s="9">
        <v>383015.5</v>
      </c>
      <c r="C13" s="9">
        <v>32</v>
      </c>
      <c r="E13" s="6" t="s">
        <v>424</v>
      </c>
      <c r="F13" s="9">
        <v>337798</v>
      </c>
      <c r="H13" s="6" t="s">
        <v>79</v>
      </c>
      <c r="I13" s="9">
        <v>92320</v>
      </c>
    </row>
    <row r="14" spans="1:9" x14ac:dyDescent="0.3">
      <c r="A14" s="6" t="s">
        <v>103</v>
      </c>
      <c r="B14" s="9">
        <v>563948.5</v>
      </c>
      <c r="C14" s="9">
        <v>43</v>
      </c>
      <c r="E14" s="6" t="s">
        <v>425</v>
      </c>
      <c r="F14" s="9">
        <v>378263</v>
      </c>
      <c r="H14" s="6" t="s">
        <v>65</v>
      </c>
      <c r="I14" s="9">
        <v>365310</v>
      </c>
    </row>
    <row r="15" spans="1:9" x14ac:dyDescent="0.3">
      <c r="A15" s="6" t="s">
        <v>66</v>
      </c>
      <c r="B15" s="9">
        <v>440813.5</v>
      </c>
      <c r="C15" s="9">
        <v>35</v>
      </c>
      <c r="E15" s="6" t="s">
        <v>426</v>
      </c>
      <c r="F15" s="9">
        <v>100318.5</v>
      </c>
      <c r="H15" s="6" t="s">
        <v>89</v>
      </c>
      <c r="I15" s="9">
        <v>40440</v>
      </c>
    </row>
    <row r="16" spans="1:9" x14ac:dyDescent="0.3">
      <c r="A16" s="6" t="s">
        <v>27</v>
      </c>
      <c r="B16" s="9">
        <v>374842.5</v>
      </c>
      <c r="C16" s="9">
        <v>24</v>
      </c>
      <c r="E16" s="6" t="s">
        <v>427</v>
      </c>
      <c r="F16" s="9">
        <v>256890.5</v>
      </c>
      <c r="H16" s="6" t="s">
        <v>26</v>
      </c>
      <c r="I16" s="9">
        <v>38430</v>
      </c>
    </row>
    <row r="17" spans="1:9" x14ac:dyDescent="0.3">
      <c r="A17" s="6" t="s">
        <v>41</v>
      </c>
      <c r="B17" s="9">
        <v>477443.5</v>
      </c>
      <c r="C17" s="9">
        <v>34</v>
      </c>
      <c r="E17" s="6" t="s">
        <v>428</v>
      </c>
      <c r="F17" s="9">
        <v>504277</v>
      </c>
      <c r="H17" s="6" t="s">
        <v>100</v>
      </c>
      <c r="I17" s="9">
        <v>49140</v>
      </c>
    </row>
    <row r="18" spans="1:9" x14ac:dyDescent="0.3">
      <c r="A18" s="6" t="s">
        <v>421</v>
      </c>
      <c r="B18" s="9">
        <v>850</v>
      </c>
      <c r="C18" s="9">
        <v>1</v>
      </c>
      <c r="E18" s="6" t="s">
        <v>429</v>
      </c>
      <c r="F18" s="9">
        <v>295532</v>
      </c>
      <c r="H18" s="6" t="s">
        <v>76</v>
      </c>
      <c r="I18" s="9">
        <v>893125</v>
      </c>
    </row>
    <row r="19" spans="1:9" x14ac:dyDescent="0.3">
      <c r="A19" s="6" t="s">
        <v>416</v>
      </c>
      <c r="B19" s="9">
        <v>2763009.5</v>
      </c>
      <c r="C19" s="9">
        <v>200</v>
      </c>
      <c r="E19" s="6" t="s">
        <v>430</v>
      </c>
      <c r="F19" s="9">
        <v>171692</v>
      </c>
      <c r="H19" s="6" t="s">
        <v>102</v>
      </c>
      <c r="I19" s="9">
        <v>383625</v>
      </c>
    </row>
    <row r="20" spans="1:9" x14ac:dyDescent="0.3">
      <c r="E20" s="6" t="s">
        <v>431</v>
      </c>
      <c r="F20" s="9">
        <v>322812</v>
      </c>
      <c r="H20" s="6" t="s">
        <v>58</v>
      </c>
      <c r="I20" s="9">
        <v>337500</v>
      </c>
    </row>
    <row r="21" spans="1:9" x14ac:dyDescent="0.3">
      <c r="E21" s="6" t="s">
        <v>416</v>
      </c>
      <c r="F21" s="9">
        <v>2763009.5</v>
      </c>
      <c r="H21" s="6" t="s">
        <v>151</v>
      </c>
      <c r="I21" s="9">
        <v>94380</v>
      </c>
    </row>
    <row r="22" spans="1:9" x14ac:dyDescent="0.3">
      <c r="H22" s="6" t="s">
        <v>416</v>
      </c>
      <c r="I22" s="9">
        <v>2684920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3BD31-361B-4D93-8D06-3FEE8469F353}">
  <dimension ref="A1:T34"/>
  <sheetViews>
    <sheetView showGridLines="0" tabSelected="1" workbookViewId="0">
      <selection activeCell="V32" sqref="V32"/>
    </sheetView>
  </sheetViews>
  <sheetFormatPr defaultRowHeight="14.4" x14ac:dyDescent="0.3"/>
  <sheetData>
    <row r="1" spans="1:20" x14ac:dyDescent="0.3">
      <c r="A1" s="11" t="s">
        <v>434</v>
      </c>
      <c r="B1" s="11"/>
      <c r="C1" s="11"/>
      <c r="D1" s="11"/>
      <c r="E1" s="11"/>
      <c r="F1" s="11"/>
      <c r="G1" s="11"/>
      <c r="H1" s="11"/>
      <c r="I1" s="11"/>
      <c r="J1" s="11"/>
      <c r="K1" s="11"/>
      <c r="L1" s="11"/>
      <c r="M1" s="11"/>
      <c r="N1" s="11"/>
      <c r="O1" s="11"/>
      <c r="P1" s="11"/>
      <c r="Q1" s="11"/>
      <c r="R1" s="11"/>
      <c r="S1" s="11"/>
      <c r="T1" s="11"/>
    </row>
    <row r="2" spans="1:20" x14ac:dyDescent="0.3">
      <c r="A2" s="11"/>
      <c r="B2" s="11"/>
      <c r="C2" s="11"/>
      <c r="D2" s="11"/>
      <c r="E2" s="11"/>
      <c r="F2" s="11"/>
      <c r="G2" s="11"/>
      <c r="H2" s="11"/>
      <c r="I2" s="11"/>
      <c r="J2" s="11"/>
      <c r="K2" s="11"/>
      <c r="L2" s="11"/>
      <c r="M2" s="11"/>
      <c r="N2" s="11"/>
      <c r="O2" s="11"/>
      <c r="P2" s="11"/>
      <c r="Q2" s="11"/>
      <c r="R2" s="11"/>
      <c r="S2" s="11"/>
      <c r="T2" s="11"/>
    </row>
    <row r="3" spans="1:20" x14ac:dyDescent="0.3">
      <c r="A3" s="10"/>
      <c r="B3" s="10"/>
      <c r="C3" s="10"/>
      <c r="D3" s="10"/>
      <c r="E3" s="10"/>
      <c r="F3" s="10"/>
      <c r="G3" s="10"/>
      <c r="H3" s="10"/>
      <c r="I3" s="10"/>
      <c r="J3" s="10"/>
      <c r="K3" s="10"/>
      <c r="L3" s="10"/>
      <c r="M3" s="10"/>
      <c r="N3" s="10"/>
      <c r="O3" s="10"/>
      <c r="P3" s="10"/>
      <c r="Q3" s="10"/>
      <c r="R3" s="10"/>
      <c r="S3" s="10"/>
      <c r="T3" s="10"/>
    </row>
    <row r="4" spans="1:20" x14ac:dyDescent="0.3">
      <c r="A4" s="10"/>
      <c r="B4" s="10"/>
      <c r="C4" s="10"/>
      <c r="D4" s="10"/>
      <c r="E4" s="10"/>
      <c r="F4" s="10"/>
      <c r="G4" s="10"/>
      <c r="H4" s="10"/>
      <c r="I4" s="10"/>
      <c r="J4" s="10"/>
      <c r="K4" s="10"/>
      <c r="L4" s="10"/>
      <c r="M4" s="10"/>
      <c r="N4" s="10"/>
      <c r="O4" s="10"/>
      <c r="P4" s="10"/>
      <c r="Q4" s="10"/>
      <c r="R4" s="10"/>
      <c r="S4" s="10"/>
      <c r="T4" s="10"/>
    </row>
    <row r="5" spans="1:20" x14ac:dyDescent="0.3">
      <c r="A5" s="10"/>
      <c r="B5" s="10"/>
      <c r="C5" s="10"/>
      <c r="D5" s="10"/>
      <c r="E5" s="10"/>
      <c r="F5" s="10"/>
      <c r="G5" s="10"/>
      <c r="H5" s="10"/>
      <c r="I5" s="10"/>
      <c r="J5" s="10"/>
      <c r="K5" s="10"/>
      <c r="L5" s="10"/>
      <c r="M5" s="10"/>
      <c r="N5" s="10"/>
      <c r="O5" s="10"/>
      <c r="P5" s="10"/>
      <c r="Q5" s="10"/>
      <c r="R5" s="10"/>
      <c r="S5" s="10"/>
      <c r="T5" s="10"/>
    </row>
    <row r="6" spans="1:20" x14ac:dyDescent="0.3">
      <c r="A6" s="10"/>
      <c r="B6" s="10"/>
      <c r="C6" s="10"/>
      <c r="D6" s="10"/>
      <c r="E6" s="10"/>
      <c r="F6" s="10"/>
      <c r="G6" s="10"/>
      <c r="H6" s="10"/>
      <c r="I6" s="10"/>
      <c r="J6" s="10"/>
      <c r="K6" s="10"/>
      <c r="L6" s="10"/>
      <c r="M6" s="10"/>
      <c r="N6" s="10"/>
      <c r="O6" s="10"/>
      <c r="P6" s="10"/>
      <c r="Q6" s="10"/>
      <c r="R6" s="10"/>
      <c r="S6" s="10"/>
      <c r="T6" s="10"/>
    </row>
    <row r="7" spans="1:20" x14ac:dyDescent="0.3">
      <c r="A7" s="10"/>
      <c r="B7" s="10"/>
      <c r="C7" s="10"/>
      <c r="D7" s="10"/>
      <c r="E7" s="10"/>
      <c r="F7" s="10"/>
      <c r="G7" s="10"/>
      <c r="H7" s="10"/>
      <c r="I7" s="10"/>
      <c r="J7" s="10"/>
      <c r="K7" s="10"/>
      <c r="L7" s="10"/>
      <c r="M7" s="10"/>
      <c r="N7" s="10"/>
      <c r="O7" s="10"/>
      <c r="P7" s="10"/>
      <c r="Q7" s="10"/>
      <c r="R7" s="10"/>
      <c r="S7" s="10"/>
      <c r="T7" s="10"/>
    </row>
    <row r="8" spans="1:20" x14ac:dyDescent="0.3">
      <c r="A8" s="10"/>
      <c r="B8" s="10"/>
      <c r="C8" s="10"/>
      <c r="D8" s="10"/>
      <c r="E8" s="10"/>
      <c r="F8" s="10"/>
      <c r="G8" s="10"/>
      <c r="H8" s="10"/>
      <c r="I8" s="10"/>
      <c r="J8" s="10"/>
      <c r="K8" s="10"/>
      <c r="L8" s="10"/>
      <c r="M8" s="10"/>
      <c r="N8" s="10"/>
      <c r="O8" s="10"/>
      <c r="P8" s="10"/>
      <c r="Q8" s="10"/>
      <c r="R8" s="10"/>
      <c r="S8" s="10"/>
      <c r="T8" s="10"/>
    </row>
    <row r="9" spans="1:20" x14ac:dyDescent="0.3">
      <c r="A9" s="10"/>
      <c r="B9" s="10"/>
      <c r="C9" s="10"/>
      <c r="D9" s="10"/>
      <c r="E9" s="10"/>
      <c r="F9" s="10"/>
      <c r="G9" s="10"/>
      <c r="H9" s="10"/>
      <c r="I9" s="10"/>
      <c r="J9" s="10"/>
      <c r="K9" s="10"/>
      <c r="L9" s="10"/>
      <c r="M9" s="10"/>
      <c r="N9" s="10"/>
      <c r="O9" s="10"/>
      <c r="P9" s="10"/>
      <c r="Q9" s="10"/>
      <c r="R9" s="10"/>
      <c r="S9" s="10"/>
      <c r="T9" s="10"/>
    </row>
    <row r="10" spans="1:20" x14ac:dyDescent="0.3">
      <c r="A10" s="10"/>
      <c r="B10" s="10"/>
      <c r="C10" s="10"/>
      <c r="D10" s="10"/>
      <c r="E10" s="10"/>
      <c r="F10" s="10"/>
      <c r="G10" s="10"/>
      <c r="H10" s="10"/>
      <c r="I10" s="10"/>
      <c r="J10" s="10"/>
      <c r="K10" s="10"/>
      <c r="L10" s="10"/>
      <c r="M10" s="10"/>
      <c r="N10" s="10"/>
      <c r="O10" s="10"/>
      <c r="P10" s="10"/>
      <c r="Q10" s="10"/>
      <c r="R10" s="10"/>
      <c r="S10" s="10"/>
      <c r="T10" s="10"/>
    </row>
    <row r="11" spans="1:20" x14ac:dyDescent="0.3">
      <c r="A11" s="10"/>
      <c r="B11" s="10"/>
      <c r="C11" s="10"/>
      <c r="D11" s="10"/>
      <c r="E11" s="10"/>
      <c r="F11" s="10"/>
      <c r="G11" s="10"/>
      <c r="H11" s="10"/>
      <c r="I11" s="10"/>
      <c r="J11" s="10"/>
      <c r="K11" s="10"/>
      <c r="L11" s="10"/>
      <c r="M11" s="10"/>
      <c r="N11" s="10"/>
      <c r="O11" s="10"/>
      <c r="P11" s="10"/>
      <c r="Q11" s="10"/>
      <c r="R11" s="10"/>
      <c r="S11" s="10"/>
      <c r="T11" s="10"/>
    </row>
    <row r="12" spans="1:20" x14ac:dyDescent="0.3">
      <c r="A12" s="10"/>
      <c r="B12" s="10"/>
      <c r="C12" s="10"/>
      <c r="D12" s="10"/>
      <c r="E12" s="10"/>
      <c r="F12" s="10"/>
      <c r="G12" s="10"/>
      <c r="H12" s="10"/>
      <c r="I12" s="10"/>
      <c r="J12" s="10"/>
      <c r="K12" s="10"/>
      <c r="L12" s="10"/>
      <c r="M12" s="10"/>
      <c r="N12" s="10"/>
      <c r="O12" s="10"/>
      <c r="P12" s="10"/>
      <c r="Q12" s="10"/>
      <c r="R12" s="10"/>
      <c r="S12" s="10"/>
      <c r="T12" s="10"/>
    </row>
    <row r="13" spans="1:20" x14ac:dyDescent="0.3">
      <c r="A13" s="10"/>
      <c r="B13" s="10"/>
      <c r="C13" s="10"/>
      <c r="D13" s="10"/>
      <c r="E13" s="10"/>
      <c r="F13" s="10"/>
      <c r="G13" s="10"/>
      <c r="H13" s="10"/>
      <c r="I13" s="10"/>
      <c r="J13" s="10"/>
      <c r="K13" s="10"/>
      <c r="L13" s="10"/>
      <c r="M13" s="10"/>
      <c r="N13" s="10"/>
      <c r="O13" s="10"/>
      <c r="P13" s="10"/>
      <c r="Q13" s="10"/>
      <c r="R13" s="10"/>
      <c r="S13" s="10"/>
      <c r="T13" s="10"/>
    </row>
    <row r="14" spans="1:20" x14ac:dyDescent="0.3">
      <c r="A14" s="10"/>
      <c r="B14" s="10"/>
      <c r="C14" s="10"/>
      <c r="D14" s="10"/>
      <c r="E14" s="10"/>
      <c r="F14" s="10"/>
      <c r="G14" s="10"/>
      <c r="H14" s="10"/>
      <c r="I14" s="10"/>
      <c r="J14" s="10"/>
      <c r="K14" s="10"/>
      <c r="L14" s="10"/>
      <c r="M14" s="10"/>
      <c r="N14" s="10"/>
      <c r="O14" s="10"/>
      <c r="P14" s="10"/>
      <c r="Q14" s="10"/>
      <c r="R14" s="10"/>
      <c r="S14" s="10"/>
      <c r="T14" s="10"/>
    </row>
    <row r="15" spans="1:20" x14ac:dyDescent="0.3">
      <c r="A15" s="10"/>
      <c r="B15" s="10"/>
      <c r="C15" s="10"/>
      <c r="D15" s="10"/>
      <c r="E15" s="10"/>
      <c r="F15" s="10"/>
      <c r="G15" s="10"/>
      <c r="H15" s="10"/>
      <c r="I15" s="10"/>
      <c r="J15" s="10"/>
      <c r="K15" s="10"/>
      <c r="L15" s="10"/>
      <c r="M15" s="10"/>
      <c r="N15" s="10"/>
      <c r="O15" s="10"/>
      <c r="P15" s="10"/>
      <c r="Q15" s="10"/>
      <c r="R15" s="10"/>
      <c r="S15" s="10"/>
      <c r="T15" s="10"/>
    </row>
    <row r="16" spans="1:20" x14ac:dyDescent="0.3">
      <c r="A16" s="10"/>
      <c r="B16" s="10"/>
      <c r="C16" s="10"/>
      <c r="D16" s="10"/>
      <c r="E16" s="10"/>
      <c r="F16" s="10"/>
      <c r="G16" s="10"/>
      <c r="H16" s="10"/>
      <c r="I16" s="10"/>
      <c r="J16" s="10"/>
      <c r="K16" s="10"/>
      <c r="L16" s="10"/>
      <c r="M16" s="10"/>
      <c r="N16" s="10"/>
      <c r="O16" s="10"/>
      <c r="P16" s="10"/>
      <c r="Q16" s="10"/>
      <c r="R16" s="10"/>
      <c r="S16" s="10"/>
      <c r="T16" s="10"/>
    </row>
    <row r="17" spans="1:20" x14ac:dyDescent="0.3">
      <c r="A17" s="10"/>
      <c r="B17" s="10"/>
      <c r="C17" s="10"/>
      <c r="D17" s="10"/>
      <c r="E17" s="10"/>
      <c r="F17" s="10"/>
      <c r="G17" s="10"/>
      <c r="H17" s="10"/>
      <c r="I17" s="10"/>
      <c r="J17" s="10"/>
      <c r="K17" s="10"/>
      <c r="L17" s="10"/>
      <c r="M17" s="10"/>
      <c r="N17" s="10"/>
      <c r="O17" s="10"/>
      <c r="P17" s="10"/>
      <c r="Q17" s="10"/>
      <c r="R17" s="10"/>
      <c r="S17" s="10"/>
      <c r="T17" s="10"/>
    </row>
    <row r="18" spans="1:20" x14ac:dyDescent="0.3">
      <c r="A18" s="10"/>
      <c r="B18" s="10"/>
      <c r="C18" s="10"/>
      <c r="D18" s="10"/>
      <c r="E18" s="10"/>
      <c r="F18" s="10"/>
      <c r="G18" s="10"/>
      <c r="H18" s="10"/>
      <c r="I18" s="10"/>
      <c r="J18" s="10"/>
      <c r="K18" s="10"/>
      <c r="L18" s="10"/>
      <c r="M18" s="10"/>
      <c r="N18" s="10"/>
      <c r="O18" s="10"/>
      <c r="P18" s="10"/>
      <c r="Q18" s="10"/>
      <c r="R18" s="10"/>
      <c r="S18" s="10"/>
      <c r="T18" s="10"/>
    </row>
    <row r="19" spans="1:20" x14ac:dyDescent="0.3">
      <c r="A19" s="10"/>
      <c r="B19" s="10"/>
      <c r="C19" s="10"/>
      <c r="D19" s="10"/>
      <c r="E19" s="10"/>
      <c r="F19" s="10"/>
      <c r="G19" s="10"/>
      <c r="H19" s="10"/>
      <c r="I19" s="10"/>
      <c r="J19" s="10"/>
      <c r="K19" s="10"/>
      <c r="L19" s="10"/>
      <c r="M19" s="10"/>
      <c r="N19" s="10"/>
      <c r="O19" s="10"/>
      <c r="P19" s="10"/>
      <c r="Q19" s="10"/>
      <c r="R19" s="10"/>
      <c r="S19" s="10"/>
      <c r="T19" s="10"/>
    </row>
    <row r="20" spans="1:20" x14ac:dyDescent="0.3">
      <c r="A20" s="10"/>
      <c r="B20" s="10"/>
      <c r="C20" s="10"/>
      <c r="D20" s="10"/>
      <c r="E20" s="10"/>
      <c r="F20" s="10"/>
      <c r="G20" s="10"/>
      <c r="H20" s="10"/>
      <c r="I20" s="10"/>
      <c r="J20" s="10"/>
      <c r="K20" s="10"/>
      <c r="L20" s="10"/>
      <c r="M20" s="10"/>
      <c r="N20" s="10"/>
      <c r="O20" s="10"/>
      <c r="P20" s="10"/>
      <c r="Q20" s="10"/>
      <c r="R20" s="10"/>
      <c r="S20" s="10"/>
      <c r="T20" s="10"/>
    </row>
    <row r="21" spans="1:20" x14ac:dyDescent="0.3">
      <c r="A21" s="10"/>
      <c r="B21" s="10"/>
      <c r="C21" s="10"/>
      <c r="D21" s="10"/>
      <c r="E21" s="10"/>
      <c r="F21" s="10"/>
      <c r="G21" s="10"/>
      <c r="H21" s="10"/>
      <c r="I21" s="10"/>
      <c r="J21" s="10"/>
      <c r="K21" s="10"/>
      <c r="L21" s="10"/>
      <c r="M21" s="10"/>
      <c r="N21" s="10"/>
      <c r="O21" s="10"/>
      <c r="P21" s="10"/>
      <c r="Q21" s="10"/>
      <c r="R21" s="10"/>
      <c r="S21" s="10"/>
      <c r="T21" s="10"/>
    </row>
    <row r="22" spans="1:20" x14ac:dyDescent="0.3">
      <c r="A22" s="10"/>
      <c r="B22" s="10"/>
      <c r="C22" s="10"/>
      <c r="D22" s="10"/>
      <c r="E22" s="10"/>
      <c r="F22" s="10"/>
      <c r="G22" s="10"/>
      <c r="H22" s="10"/>
      <c r="I22" s="10"/>
      <c r="J22" s="10"/>
      <c r="K22" s="10"/>
      <c r="L22" s="10"/>
      <c r="M22" s="10"/>
      <c r="N22" s="10"/>
      <c r="O22" s="10"/>
      <c r="P22" s="10"/>
      <c r="Q22" s="10"/>
      <c r="R22" s="10"/>
      <c r="S22" s="10"/>
      <c r="T22" s="10"/>
    </row>
    <row r="23" spans="1:20" x14ac:dyDescent="0.3">
      <c r="A23" s="10"/>
      <c r="B23" s="10"/>
      <c r="C23" s="10"/>
      <c r="D23" s="10"/>
      <c r="E23" s="10"/>
      <c r="F23" s="10"/>
      <c r="G23" s="10"/>
      <c r="H23" s="10"/>
      <c r="I23" s="10"/>
      <c r="J23" s="10"/>
      <c r="K23" s="10"/>
      <c r="L23" s="10"/>
      <c r="M23" s="10"/>
      <c r="N23" s="10"/>
      <c r="O23" s="10"/>
      <c r="P23" s="10"/>
      <c r="Q23" s="10"/>
      <c r="R23" s="10"/>
      <c r="S23" s="10"/>
      <c r="T23" s="10"/>
    </row>
    <row r="24" spans="1:20" x14ac:dyDescent="0.3">
      <c r="A24" s="10"/>
      <c r="B24" s="10"/>
      <c r="C24" s="10"/>
      <c r="D24" s="10"/>
      <c r="E24" s="10"/>
      <c r="F24" s="10"/>
      <c r="G24" s="10"/>
      <c r="H24" s="10"/>
      <c r="I24" s="10"/>
      <c r="J24" s="10"/>
      <c r="K24" s="10"/>
      <c r="L24" s="10"/>
      <c r="M24" s="10"/>
      <c r="N24" s="10"/>
      <c r="O24" s="10"/>
      <c r="P24" s="10"/>
      <c r="Q24" s="10"/>
      <c r="R24" s="10"/>
      <c r="S24" s="10"/>
      <c r="T24" s="10"/>
    </row>
    <row r="25" spans="1:20" x14ac:dyDescent="0.3">
      <c r="A25" s="10"/>
      <c r="B25" s="10"/>
      <c r="C25" s="10"/>
      <c r="D25" s="10"/>
      <c r="E25" s="10"/>
      <c r="F25" s="10"/>
      <c r="G25" s="10"/>
      <c r="H25" s="10"/>
      <c r="I25" s="10"/>
      <c r="J25" s="10"/>
      <c r="K25" s="10"/>
      <c r="L25" s="10"/>
      <c r="M25" s="10"/>
      <c r="N25" s="10"/>
      <c r="O25" s="10"/>
      <c r="P25" s="10"/>
      <c r="Q25" s="10"/>
      <c r="R25" s="10"/>
      <c r="S25" s="10"/>
      <c r="T25" s="10"/>
    </row>
    <row r="26" spans="1:20" x14ac:dyDescent="0.3">
      <c r="A26" s="10"/>
      <c r="B26" s="10"/>
      <c r="C26" s="10"/>
      <c r="D26" s="10"/>
      <c r="E26" s="10"/>
      <c r="F26" s="10"/>
      <c r="G26" s="10"/>
      <c r="H26" s="10"/>
      <c r="I26" s="10"/>
      <c r="J26" s="10"/>
      <c r="K26" s="10"/>
      <c r="L26" s="10"/>
      <c r="M26" s="10"/>
      <c r="N26" s="10"/>
      <c r="O26" s="10"/>
      <c r="P26" s="10"/>
      <c r="Q26" s="10"/>
      <c r="R26" s="10"/>
      <c r="S26" s="10"/>
      <c r="T26" s="10"/>
    </row>
    <row r="27" spans="1:20" x14ac:dyDescent="0.3">
      <c r="A27" s="10"/>
      <c r="B27" s="10"/>
      <c r="C27" s="10"/>
      <c r="D27" s="10"/>
      <c r="E27" s="10"/>
      <c r="F27" s="10"/>
      <c r="G27" s="10"/>
      <c r="H27" s="10"/>
      <c r="I27" s="10"/>
      <c r="J27" s="10"/>
      <c r="K27" s="10"/>
      <c r="L27" s="10"/>
      <c r="M27" s="10"/>
      <c r="N27" s="10"/>
      <c r="O27" s="10"/>
      <c r="P27" s="10"/>
      <c r="Q27" s="10"/>
      <c r="R27" s="10"/>
      <c r="S27" s="10"/>
      <c r="T27" s="10"/>
    </row>
    <row r="28" spans="1:20" x14ac:dyDescent="0.3">
      <c r="A28" s="10"/>
      <c r="B28" s="10"/>
      <c r="C28" s="10"/>
      <c r="D28" s="10"/>
      <c r="E28" s="10"/>
      <c r="F28" s="10"/>
      <c r="G28" s="10"/>
      <c r="H28" s="10"/>
      <c r="I28" s="10"/>
      <c r="J28" s="10"/>
      <c r="K28" s="10"/>
      <c r="L28" s="10"/>
      <c r="M28" s="10"/>
      <c r="N28" s="10"/>
      <c r="O28" s="10"/>
      <c r="P28" s="10"/>
      <c r="Q28" s="10"/>
      <c r="R28" s="10"/>
      <c r="S28" s="10"/>
      <c r="T28" s="10"/>
    </row>
    <row r="29" spans="1:20" x14ac:dyDescent="0.3">
      <c r="A29" s="10"/>
      <c r="B29" s="10"/>
      <c r="C29" s="10"/>
      <c r="D29" s="10"/>
      <c r="E29" s="10"/>
      <c r="F29" s="10"/>
      <c r="G29" s="10"/>
      <c r="H29" s="10"/>
      <c r="I29" s="10"/>
      <c r="J29" s="10"/>
      <c r="K29" s="10"/>
      <c r="L29" s="10"/>
      <c r="M29" s="10"/>
      <c r="N29" s="10"/>
      <c r="O29" s="10"/>
      <c r="P29" s="10"/>
      <c r="Q29" s="10"/>
      <c r="R29" s="10"/>
      <c r="S29" s="10"/>
      <c r="T29" s="10"/>
    </row>
    <row r="30" spans="1:20" x14ac:dyDescent="0.3">
      <c r="A30" s="10"/>
      <c r="B30" s="10"/>
      <c r="C30" s="10"/>
      <c r="D30" s="10"/>
      <c r="E30" s="10"/>
      <c r="F30" s="10"/>
      <c r="G30" s="10"/>
      <c r="H30" s="10"/>
      <c r="I30" s="10"/>
      <c r="J30" s="10"/>
      <c r="K30" s="10"/>
      <c r="L30" s="10"/>
      <c r="M30" s="10"/>
      <c r="N30" s="10"/>
      <c r="O30" s="10"/>
      <c r="P30" s="10"/>
      <c r="Q30" s="10"/>
      <c r="R30" s="10"/>
      <c r="S30" s="10"/>
      <c r="T30" s="10"/>
    </row>
    <row r="31" spans="1:20" x14ac:dyDescent="0.3">
      <c r="A31" s="10"/>
      <c r="B31" s="10"/>
      <c r="C31" s="10"/>
      <c r="D31" s="10"/>
      <c r="E31" s="10"/>
      <c r="F31" s="10"/>
      <c r="G31" s="10"/>
      <c r="H31" s="10"/>
      <c r="I31" s="10"/>
      <c r="J31" s="10"/>
      <c r="K31" s="10"/>
      <c r="L31" s="10"/>
      <c r="M31" s="10"/>
      <c r="N31" s="10"/>
      <c r="O31" s="10"/>
      <c r="P31" s="10"/>
      <c r="Q31" s="10"/>
      <c r="R31" s="10"/>
      <c r="S31" s="10"/>
      <c r="T31" s="10"/>
    </row>
    <row r="32" spans="1:20" x14ac:dyDescent="0.3">
      <c r="A32" s="10"/>
      <c r="B32" s="10"/>
      <c r="C32" s="10"/>
      <c r="D32" s="10"/>
      <c r="E32" s="10"/>
      <c r="F32" s="10"/>
      <c r="G32" s="10"/>
      <c r="H32" s="10"/>
      <c r="I32" s="10"/>
      <c r="J32" s="10"/>
      <c r="K32" s="10"/>
      <c r="L32" s="10"/>
      <c r="M32" s="10"/>
      <c r="N32" s="10"/>
      <c r="O32" s="10"/>
      <c r="P32" s="10"/>
      <c r="Q32" s="10"/>
      <c r="R32" s="10"/>
      <c r="S32" s="10"/>
      <c r="T32" s="10"/>
    </row>
    <row r="33" spans="1:20" x14ac:dyDescent="0.3">
      <c r="A33" s="10"/>
      <c r="B33" s="10"/>
      <c r="C33" s="10"/>
      <c r="D33" s="10"/>
      <c r="E33" s="10"/>
      <c r="F33" s="10"/>
      <c r="G33" s="10"/>
      <c r="H33" s="10"/>
      <c r="I33" s="10"/>
      <c r="J33" s="10"/>
      <c r="K33" s="10"/>
      <c r="L33" s="10"/>
      <c r="M33" s="10"/>
      <c r="N33" s="10"/>
      <c r="O33" s="10"/>
      <c r="P33" s="10"/>
      <c r="Q33" s="10"/>
      <c r="R33" s="10"/>
      <c r="S33" s="10"/>
      <c r="T33" s="10"/>
    </row>
    <row r="34" spans="1:20" x14ac:dyDescent="0.3">
      <c r="A34" s="10"/>
      <c r="B34" s="10"/>
      <c r="C34" s="10"/>
      <c r="D34" s="10"/>
      <c r="E34" s="10"/>
      <c r="F34" s="10"/>
      <c r="G34" s="10"/>
      <c r="H34" s="10"/>
      <c r="I34" s="10"/>
      <c r="J34" s="10"/>
      <c r="K34" s="10"/>
      <c r="L34" s="10"/>
      <c r="M34" s="10"/>
      <c r="N34" s="10"/>
      <c r="O34" s="10"/>
      <c r="P34" s="10"/>
      <c r="Q34" s="10"/>
      <c r="R34" s="10"/>
      <c r="S34" s="10"/>
      <c r="T34" s="10"/>
    </row>
  </sheetData>
  <mergeCells count="1">
    <mergeCell ref="A1:T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Read_Me</vt:lpstr>
      <vt:lpstr>Raw_Data</vt:lpstr>
      <vt:lpstr>KPIs</vt:lpstr>
      <vt:lpstr>Pivot_Table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Nishant Bhardwaj</cp:lastModifiedBy>
  <dcterms:created xsi:type="dcterms:W3CDTF">2026-10-04T08:33:52Z</dcterms:created>
  <dcterms:modified xsi:type="dcterms:W3CDTF">2026-10-07T18:25:18Z</dcterms:modified>
</cp:coreProperties>
</file>